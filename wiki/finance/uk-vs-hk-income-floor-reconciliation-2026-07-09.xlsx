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de by Side" sheetId="1" state="visible" r:id="rId1"/>
    <sheet name="Housing Mechanics" sheetId="2" state="visible" r:id="rId2"/>
    <sheet name="Inputs" sheetId="3" state="visible" r:id="rId3"/>
    <sheet name="Category Map" sheetId="4" state="visible" r:id="rId4"/>
    <sheet name="Scenario Summary" sheetId="5" state="visible" r:id="rId5"/>
    <sheet name="Audit Flags" sheetId="6" state="visible" r:id="rId6"/>
    <sheet name="Source Notes" sheetId="7" state="visible" r:id="rId7"/>
  </sheets>
  <definedNames>
    <definedName name="_xlnm._FilterDatabase" localSheetId="0" hidden="1">'Side by Side'!$A$12:$H$31</definedName>
  </definedNames>
  <calcPr calcId="124519" calcMode="auto" fullCalcOnLoad="1"/>
</workbook>
</file>

<file path=xl/styles.xml><?xml version="1.0" encoding="utf-8"?>
<styleSheet xmlns="http://schemas.openxmlformats.org/spreadsheetml/2006/main">
  <numFmts count="4">
    <numFmt numFmtId="164" formatCode="0.0%"/>
    <numFmt numFmtId="165" formatCode="£#,##0"/>
    <numFmt numFmtId="166" formatCode="£#,##0;[Red]-£#,##0"/>
    <numFmt numFmtId="167" formatCode="#,##0;[Red]-#,##0"/>
  </numFmts>
  <fonts count="14">
    <font>
      <name val="Calibri"/>
      <family val="2"/>
      <color theme="1"/>
      <sz val="11"/>
      <scheme val="minor"/>
    </font>
    <font>
      <name val="Aptos Display"/>
      <b val="1"/>
      <color rgb="00FFFFFF"/>
      <sz val="16"/>
    </font>
    <font>
      <i val="1"/>
      <color rgb="00404040"/>
    </font>
    <font>
      <b val="1"/>
    </font>
    <font>
      <b val="1"/>
      <color rgb="00FFFFFF"/>
    </font>
    <font>
      <name val="Aptos"/>
      <sz val="10"/>
    </font>
    <font>
      <b val="1"/>
      <color rgb="00FFFFFF"/>
      <sz val="16"/>
    </font>
    <font>
      <color rgb="001F1F1F"/>
      <sz val="10"/>
    </font>
    <font>
      <b val="1"/>
      <color rgb="001F1F1F"/>
    </font>
    <font>
      <color rgb="001F1F1F"/>
    </font>
    <font>
      <b val="1"/>
      <color rgb="00FFFFFF"/>
      <sz val="12"/>
    </font>
    <font>
      <b val="1"/>
      <color rgb="001F4E78"/>
    </font>
    <font>
      <b val="1"/>
      <color rgb="00FFFFFF"/>
      <sz val="15"/>
    </font>
    <font/>
  </fonts>
  <fills count="13">
    <fill>
      <patternFill/>
    </fill>
    <fill>
      <patternFill patternType="gray125"/>
    </fill>
    <fill>
      <patternFill patternType="solid">
        <fgColor rgb="0017365D"/>
      </patternFill>
    </fill>
    <fill>
      <patternFill patternType="solid">
        <fgColor rgb="00D9EAF7"/>
      </patternFill>
    </fill>
    <fill>
      <patternFill patternType="solid">
        <fgColor rgb="00FFF2CC"/>
      </patternFill>
    </fill>
    <fill>
      <patternFill patternType="solid">
        <fgColor rgb="00E7E6E6"/>
      </patternFill>
    </fill>
    <fill>
      <patternFill patternType="solid">
        <fgColor rgb="00DDEEDB"/>
      </patternFill>
    </fill>
    <fill>
      <patternFill patternType="solid">
        <fgColor rgb="00F4CCCC"/>
      </patternFill>
    </fill>
    <fill>
      <patternFill patternType="solid">
        <fgColor rgb="001F4E78"/>
      </patternFill>
    </fill>
    <fill>
      <patternFill patternType="solid">
        <fgColor rgb="00EAF4FB"/>
      </patternFill>
    </fill>
    <fill>
      <patternFill patternType="solid">
        <fgColor rgb="00FFFFFF"/>
      </patternFill>
    </fill>
    <fill>
      <patternFill patternType="solid">
        <fgColor rgb="00F9FBFD"/>
      </patternFill>
    </fill>
    <fill>
      <patternFill patternType="solid">
        <fgColor rgb="00F2F2F2"/>
      </patternFill>
    </fill>
  </fills>
  <borders count="15">
    <border>
      <left/>
      <right/>
      <top/>
      <bottom/>
      <diagonal/>
    </border>
    <border>
      <top style="thin">
        <color rgb="00D9D9D9"/>
      </top>
      <bottom style="thin">
        <color rgb="00D9D9D9"/>
      </bottom>
    </border>
    <border>
      <top style="medium">
        <color rgb="0017365D"/>
      </top>
    </border>
    <border>
      <left style="thin">
        <color rgb="00D9D9D9"/>
      </left>
      <right style="thin">
        <color rgb="00D9D9D9"/>
      </right>
      <top style="thin">
        <color rgb="00D9D9D9"/>
      </top>
      <bottom style="thin">
        <color rgb="00D9D9D9"/>
      </bottom>
    </border>
    <border>
      <bottom style="medium">
        <color rgb="00B7B7B7"/>
      </bottom>
    </border>
    <border>
      <bottom style="thin">
        <color rgb="00D9D9D9"/>
      </bottom>
    </border>
    <border>
      <top style="medium">
        <color rgb="00B7B7B7"/>
      </top>
      <bottom style="medium">
        <color rgb="00B7B7B7"/>
      </bottom>
    </border>
    <border>
      <left/>
      <right/>
      <top/>
      <bottom style="thin">
        <color rgb="00D9D9D9"/>
      </bottom>
      <diagonal/>
    </border>
    <border>
      <left/>
      <right/>
      <top style="thin">
        <color rgb="00D9D9D9"/>
      </top>
      <bottom/>
      <diagonal/>
    </border>
    <border>
      <left style="thin">
        <color rgb="00D9D9D9"/>
      </left>
      <right/>
      <top/>
      <bottom/>
      <diagonal/>
    </border>
    <border>
      <left/>
      <right style="thin">
        <color rgb="00D9D9D9"/>
      </right>
      <top style="thin">
        <color rgb="00D9D9D9"/>
      </top>
      <bottom/>
      <diagonal/>
    </border>
    <border>
      <left/>
      <right style="thin">
        <color rgb="00D9D9D9"/>
      </right>
      <top/>
      <bottom/>
      <diagonal/>
    </border>
    <border>
      <left style="thin">
        <color rgb="00D9D9D9"/>
      </left>
      <right/>
      <top/>
      <bottom style="thin">
        <color rgb="00D9D9D9"/>
      </bottom>
      <diagonal/>
    </border>
    <border>
      <left/>
      <right style="thin">
        <color rgb="00D9D9D9"/>
      </right>
      <top/>
      <bottom style="thin">
        <color rgb="00D9D9D9"/>
      </bottom>
      <diagonal/>
    </border>
    <border>
      <right/>
      <bottom style="thin">
        <color rgb="00D9D9D9"/>
      </bottom>
    </border>
  </borders>
  <cellStyleXfs count="1">
    <xf numFmtId="0" fontId="0" fillId="0" borderId="0"/>
  </cellStyleXfs>
  <cellXfs count="96">
    <xf numFmtId="0" fontId="0" fillId="0" borderId="0" pivotButton="0" quotePrefix="0" xfId="0"/>
    <xf numFmtId="0" fontId="1" fillId="2" borderId="0" applyAlignment="1" pivotButton="0" quotePrefix="0" xfId="0">
      <alignment vertical="top"/>
    </xf>
    <xf numFmtId="0" fontId="5" fillId="0" borderId="0" applyAlignment="1" pivotButton="0" quotePrefix="0" xfId="0">
      <alignment vertical="top"/>
    </xf>
    <xf numFmtId="0" fontId="2" fillId="0" borderId="0" applyAlignment="1" pivotButton="0" quotePrefix="0" xfId="0">
      <alignment vertical="top"/>
    </xf>
    <xf numFmtId="0" fontId="5" fillId="3" borderId="1" applyAlignment="1" pivotButton="0" quotePrefix="0" xfId="0">
      <alignment vertical="top"/>
    </xf>
    <xf numFmtId="4" fontId="5" fillId="4" borderId="0" applyAlignment="1" pivotButton="0" quotePrefix="0" xfId="0">
      <alignment vertical="top"/>
    </xf>
    <xf numFmtId="164" fontId="5" fillId="4" borderId="0" applyAlignment="1" pivotButton="0" quotePrefix="0" xfId="0">
      <alignment vertical="top"/>
    </xf>
    <xf numFmtId="3" fontId="5" fillId="0" borderId="0" applyAlignment="1" pivotButton="0" quotePrefix="0" xfId="0">
      <alignment vertical="top"/>
    </xf>
    <xf numFmtId="165" fontId="5" fillId="0" borderId="0" applyAlignment="1" pivotButton="0" quotePrefix="0" xfId="0">
      <alignment vertical="top"/>
    </xf>
    <xf numFmtId="0" fontId="5" fillId="5" borderId="2" applyAlignment="1" pivotButton="0" quotePrefix="0" xfId="0">
      <alignment vertical="top"/>
    </xf>
    <xf numFmtId="3" fontId="5" fillId="5" borderId="2" applyAlignment="1" pivotButton="0" quotePrefix="0" xfId="0">
      <alignment vertical="top"/>
    </xf>
    <xf numFmtId="165" fontId="5" fillId="5" borderId="2" applyAlignment="1" pivotButton="0" quotePrefix="0" xfId="0">
      <alignment vertical="top"/>
    </xf>
    <xf numFmtId="3" fontId="5" fillId="4" borderId="0" applyAlignment="1" pivotButton="0" quotePrefix="0" xfId="0">
      <alignment vertical="top"/>
    </xf>
    <xf numFmtId="3" fontId="5" fillId="6" borderId="0" applyAlignment="1" pivotButton="0" quotePrefix="0" xfId="0">
      <alignment vertical="top"/>
    </xf>
    <xf numFmtId="0" fontId="5" fillId="2" borderId="0" applyAlignment="1" pivotButton="0" quotePrefix="0" xfId="0">
      <alignment vertical="top"/>
    </xf>
    <xf numFmtId="0" fontId="5" fillId="7" borderId="0" applyAlignment="1" pivotButton="0" quotePrefix="0" xfId="0">
      <alignment vertical="top"/>
    </xf>
    <xf numFmtId="0" fontId="5" fillId="4" borderId="0" applyAlignment="1" pivotButton="0" quotePrefix="0" xfId="0">
      <alignment vertical="top"/>
    </xf>
    <xf numFmtId="0" fontId="6" fillId="8" borderId="0" applyAlignment="1" pivotButton="0" quotePrefix="0" xfId="0">
      <alignment horizontal="left" vertical="center"/>
    </xf>
    <xf numFmtId="0" fontId="7" fillId="9" borderId="3" applyAlignment="1" pivotButton="0" quotePrefix="0" xfId="0">
      <alignment vertical="top" wrapText="1"/>
    </xf>
    <xf numFmtId="0" fontId="4" fillId="8" borderId="4" applyAlignment="1" pivotButton="0" quotePrefix="0" xfId="0">
      <alignment horizontal="center"/>
    </xf>
    <xf numFmtId="0" fontId="8" fillId="10" borderId="5" applyAlignment="1" pivotButton="0" quotePrefix="0" xfId="0">
      <alignment vertical="center" wrapText="1"/>
    </xf>
    <xf numFmtId="166" fontId="3" fillId="10" borderId="5" applyAlignment="1" pivotButton="0" quotePrefix="0" xfId="0">
      <alignment vertical="center" wrapText="1"/>
    </xf>
    <xf numFmtId="0" fontId="8" fillId="4" borderId="5" applyAlignment="1" pivotButton="0" quotePrefix="0" xfId="0">
      <alignment vertical="center" wrapText="1"/>
    </xf>
    <xf numFmtId="166" fontId="3" fillId="4" borderId="5" applyAlignment="1" pivotButton="0" quotePrefix="0" xfId="0">
      <alignment vertical="center" wrapText="1"/>
    </xf>
    <xf numFmtId="0" fontId="9" fillId="4" borderId="5" applyAlignment="1" pivotButton="0" quotePrefix="0" xfId="0">
      <alignment vertical="center" wrapText="1"/>
    </xf>
    <xf numFmtId="0" fontId="4" fillId="8" borderId="6" applyAlignment="1" pivotButton="0" quotePrefix="0" xfId="0">
      <alignment horizontal="center" vertical="center" wrapText="1"/>
    </xf>
    <xf numFmtId="0" fontId="0" fillId="10" borderId="5" applyAlignment="1" pivotButton="0" quotePrefix="0" xfId="0">
      <alignment vertical="top" wrapText="1"/>
    </xf>
    <xf numFmtId="166" fontId="0" fillId="10" borderId="5" applyAlignment="1" pivotButton="0" quotePrefix="0" xfId="0">
      <alignment horizontal="right" vertical="top"/>
    </xf>
    <xf numFmtId="0" fontId="0" fillId="10" borderId="5" applyAlignment="1" pivotButton="0" quotePrefix="0" xfId="0">
      <alignment horizontal="center" vertical="top"/>
    </xf>
    <xf numFmtId="0" fontId="0" fillId="10" borderId="5" applyAlignment="1" pivotButton="0" quotePrefix="0" xfId="0">
      <alignment vertical="top"/>
    </xf>
    <xf numFmtId="0" fontId="0" fillId="11" borderId="5" applyAlignment="1" pivotButton="0" quotePrefix="0" xfId="0">
      <alignment vertical="top" wrapText="1"/>
    </xf>
    <xf numFmtId="166" fontId="0" fillId="11" borderId="5" applyAlignment="1" pivotButton="0" quotePrefix="0" xfId="0">
      <alignment horizontal="right" vertical="top"/>
    </xf>
    <xf numFmtId="0" fontId="0" fillId="11" borderId="5" applyAlignment="1" pivotButton="0" quotePrefix="0" xfId="0">
      <alignment horizontal="center" vertical="top"/>
    </xf>
    <xf numFmtId="0" fontId="0" fillId="11" borderId="5" applyAlignment="1" pivotButton="0" quotePrefix="0" xfId="0">
      <alignment vertical="top"/>
    </xf>
    <xf numFmtId="0" fontId="3" fillId="3" borderId="6" applyAlignment="1" pivotButton="0" quotePrefix="0" xfId="0">
      <alignment vertical="center" wrapText="1"/>
    </xf>
    <xf numFmtId="166" fontId="3" fillId="3" borderId="6" applyAlignment="1" pivotButton="0" quotePrefix="0" xfId="0">
      <alignment horizontal="right"/>
    </xf>
    <xf numFmtId="0" fontId="10" fillId="8" borderId="0" pivotButton="0" quotePrefix="0" xfId="0"/>
    <xf numFmtId="0" fontId="11" fillId="12" borderId="5" pivotButton="0" quotePrefix="0" xfId="0"/>
    <xf numFmtId="0" fontId="0" fillId="12" borderId="5" applyAlignment="1" pivotButton="0" quotePrefix="0" xfId="0">
      <alignment wrapText="1"/>
    </xf>
    <xf numFmtId="0" fontId="0" fillId="12" borderId="5" pivotButton="0" quotePrefix="0" xfId="0"/>
    <xf numFmtId="0" fontId="11" fillId="10" borderId="5" pivotButton="0" quotePrefix="0" xfId="0"/>
    <xf numFmtId="0" fontId="0" fillId="10" borderId="5" applyAlignment="1" pivotButton="0" quotePrefix="0" xfId="0">
      <alignment wrapText="1"/>
    </xf>
    <xf numFmtId="0" fontId="0" fillId="10" borderId="5" pivotButton="0" quotePrefix="0" xfId="0"/>
    <xf numFmtId="0" fontId="0" fillId="0" borderId="8" pivotButton="0" quotePrefix="0" xfId="0"/>
    <xf numFmtId="0" fontId="0" fillId="0" borderId="10" pivotButton="0" quotePrefix="0" xfId="0"/>
    <xf numFmtId="0" fontId="0" fillId="0" borderId="12" pivotButton="0" quotePrefix="0" xfId="0"/>
    <xf numFmtId="0" fontId="0" fillId="0" borderId="7" pivotButton="0" quotePrefix="0" xfId="0"/>
    <xf numFmtId="0" fontId="0" fillId="0" borderId="13" pivotButton="0" quotePrefix="0" xfId="0"/>
    <xf numFmtId="166" fontId="9" fillId="4" borderId="5" applyAlignment="1" pivotButton="0" quotePrefix="0" xfId="0">
      <alignment vertical="center" wrapText="1"/>
    </xf>
    <xf numFmtId="0" fontId="0" fillId="12" borderId="14" applyAlignment="1" pivotButton="0" quotePrefix="0" xfId="0">
      <alignment wrapText="1"/>
    </xf>
    <xf numFmtId="0" fontId="0" fillId="10" borderId="14" applyAlignment="1" pivotButton="0" quotePrefix="0" xfId="0">
      <alignment wrapText="1"/>
    </xf>
    <xf numFmtId="0" fontId="12" fillId="8" borderId="0" applyAlignment="1" pivotButton="0" quotePrefix="0" xfId="0">
      <alignment vertical="center"/>
    </xf>
    <xf numFmtId="0" fontId="0" fillId="9" borderId="3" applyAlignment="1" pivotButton="0" quotePrefix="0" xfId="0">
      <alignment vertical="top" wrapText="1"/>
    </xf>
    <xf numFmtId="0" fontId="3" fillId="11" borderId="5" applyAlignment="1" pivotButton="0" quotePrefix="0" xfId="0">
      <alignment vertical="top" wrapText="1"/>
    </xf>
    <xf numFmtId="0" fontId="13" fillId="11" borderId="5" applyAlignment="1" pivotButton="0" quotePrefix="0" xfId="0">
      <alignment vertical="top" wrapText="1"/>
    </xf>
    <xf numFmtId="3" fontId="0" fillId="11" borderId="5" applyAlignment="1" pivotButton="0" quotePrefix="0" xfId="0">
      <alignment horizontal="right" vertical="top"/>
    </xf>
    <xf numFmtId="0" fontId="3" fillId="10" borderId="5" applyAlignment="1" pivotButton="0" quotePrefix="0" xfId="0">
      <alignment vertical="top" wrapText="1"/>
    </xf>
    <xf numFmtId="0" fontId="13" fillId="10" borderId="5" applyAlignment="1" pivotButton="0" quotePrefix="0" xfId="0">
      <alignment vertical="top" wrapText="1"/>
    </xf>
    <xf numFmtId="3" fontId="0" fillId="10" borderId="5" applyAlignment="1" pivotButton="0" quotePrefix="0" xfId="0">
      <alignment horizontal="right" vertical="top"/>
    </xf>
    <xf numFmtId="0" fontId="4" fillId="8" borderId="6" applyAlignment="1" pivotButton="0" quotePrefix="0" xfId="0">
      <alignment horizontal="center" wrapText="1"/>
    </xf>
    <xf numFmtId="166" fontId="0" fillId="10" borderId="5" applyAlignment="1" pivotButton="0" quotePrefix="0" xfId="0">
      <alignment horizontal="right"/>
    </xf>
    <xf numFmtId="0" fontId="3" fillId="4" borderId="5" applyAlignment="1" pivotButton="0" quotePrefix="0" xfId="0">
      <alignment vertical="top" wrapText="1"/>
    </xf>
    <xf numFmtId="166" fontId="0" fillId="4" borderId="5" applyAlignment="1" pivotButton="0" quotePrefix="0" xfId="0">
      <alignment horizontal="right"/>
    </xf>
    <xf numFmtId="0" fontId="0" fillId="4" borderId="5" applyAlignment="1" pivotButton="0" quotePrefix="0" xfId="0">
      <alignment vertical="top" wrapText="1"/>
    </xf>
    <xf numFmtId="0" fontId="3" fillId="0" borderId="5" applyAlignment="1" pivotButton="0" quotePrefix="0" xfId="0">
      <alignment vertical="top" wrapText="1"/>
    </xf>
    <xf numFmtId="0" fontId="0" fillId="0" borderId="5" applyAlignment="1" pivotButton="0" quotePrefix="0" xfId="0">
      <alignment vertical="top" wrapText="1"/>
    </xf>
    <xf numFmtId="0" fontId="0" fillId="3" borderId="5" applyAlignment="1" pivotButton="0" quotePrefix="0" xfId="0">
      <alignment vertical="top" wrapText="1"/>
    </xf>
    <xf numFmtId="0" fontId="0" fillId="10" borderId="5" applyAlignment="1" pivotButton="0" quotePrefix="0" xfId="0">
      <alignment vertical="top"/>
    </xf>
    <xf numFmtId="0" fontId="0" fillId="11" borderId="5" applyAlignment="1" pivotButton="0" quotePrefix="0" xfId="0">
      <alignment vertical="top"/>
    </xf>
    <xf numFmtId="0" fontId="3" fillId="3" borderId="5" applyAlignment="1" pivotButton="0" quotePrefix="0" xfId="0">
      <alignment vertical="top" wrapText="1"/>
    </xf>
    <xf numFmtId="166" fontId="3" fillId="3" borderId="5" applyAlignment="1" pivotButton="0" quotePrefix="0" xfId="0">
      <alignment horizontal="right" vertical="top"/>
    </xf>
    <xf numFmtId="0" fontId="3" fillId="3" borderId="5" applyAlignment="1" pivotButton="0" quotePrefix="0" xfId="0">
      <alignment vertical="top"/>
    </xf>
    <xf numFmtId="0" fontId="0" fillId="10" borderId="14" applyAlignment="1" pivotButton="0" quotePrefix="0" xfId="0">
      <alignment vertical="top" wrapText="1"/>
    </xf>
    <xf numFmtId="0" fontId="0" fillId="4" borderId="14" applyAlignment="1" pivotButton="0" quotePrefix="0" xfId="0">
      <alignment vertical="top" wrapText="1"/>
    </xf>
    <xf numFmtId="3" fontId="5" fillId="11" borderId="5" applyAlignment="1" pivotButton="0" quotePrefix="0" xfId="0">
      <alignment vertical="top" wrapText="1"/>
    </xf>
    <xf numFmtId="165" fontId="5" fillId="11" borderId="5" applyAlignment="1" pivotButton="0" quotePrefix="0" xfId="0">
      <alignment vertical="top" wrapText="1"/>
    </xf>
    <xf numFmtId="0" fontId="5" fillId="11" borderId="5" applyAlignment="1" pivotButton="0" quotePrefix="0" xfId="0">
      <alignment vertical="top" wrapText="1"/>
    </xf>
    <xf numFmtId="3" fontId="5" fillId="10" borderId="5" applyAlignment="1" pivotButton="0" quotePrefix="0" xfId="0">
      <alignment vertical="top" wrapText="1"/>
    </xf>
    <xf numFmtId="165" fontId="5" fillId="10" borderId="5" applyAlignment="1" pivotButton="0" quotePrefix="0" xfId="0">
      <alignment vertical="top" wrapText="1"/>
    </xf>
    <xf numFmtId="0" fontId="5" fillId="10" borderId="5" applyAlignment="1" pivotButton="0" quotePrefix="0" xfId="0">
      <alignment vertical="top" wrapText="1"/>
    </xf>
    <xf numFmtId="3" fontId="3" fillId="3" borderId="5" applyAlignment="1" pivotButton="0" quotePrefix="0" xfId="0">
      <alignment vertical="top" wrapText="1"/>
    </xf>
    <xf numFmtId="165" fontId="3" fillId="3" borderId="5" applyAlignment="1" pivotButton="0" quotePrefix="0" xfId="0">
      <alignment vertical="top" wrapText="1"/>
    </xf>
    <xf numFmtId="0" fontId="4" fillId="8" borderId="1" applyAlignment="1" pivotButton="0" quotePrefix="0" xfId="0">
      <alignment horizontal="center" vertical="center" wrapText="1"/>
    </xf>
    <xf numFmtId="166" fontId="3" fillId="11" borderId="5" applyAlignment="1" pivotButton="0" quotePrefix="0" xfId="0">
      <alignment horizontal="right" vertical="top"/>
    </xf>
    <xf numFmtId="0" fontId="3" fillId="3" borderId="1" applyAlignment="1" pivotButton="0" quotePrefix="0" xfId="0">
      <alignment vertical="top" wrapText="1"/>
    </xf>
    <xf numFmtId="166" fontId="3" fillId="3" borderId="1" applyAlignment="1" pivotButton="0" quotePrefix="0" xfId="0">
      <alignment horizontal="right" vertical="top"/>
    </xf>
    <xf numFmtId="166" fontId="0" fillId="4" borderId="5" applyAlignment="1" pivotButton="0" quotePrefix="0" xfId="0">
      <alignment vertical="top" wrapText="1"/>
    </xf>
    <xf numFmtId="0" fontId="10" fillId="8" borderId="14" pivotButton="0" quotePrefix="0" xfId="0"/>
    <xf numFmtId="0" fontId="11" fillId="10" borderId="5" applyAlignment="1" pivotButton="0" quotePrefix="0" xfId="0">
      <alignment vertical="top" wrapText="1"/>
    </xf>
    <xf numFmtId="0" fontId="11" fillId="12" borderId="5" applyAlignment="1" pivotButton="0" quotePrefix="0" xfId="0">
      <alignment vertical="top" wrapText="1"/>
    </xf>
    <xf numFmtId="0" fontId="0" fillId="12" borderId="5" applyAlignment="1" pivotButton="0" quotePrefix="0" xfId="0">
      <alignment vertical="top" wrapText="1"/>
    </xf>
    <xf numFmtId="167" fontId="5" fillId="11" borderId="5" applyAlignment="1" pivotButton="0" quotePrefix="0" xfId="0">
      <alignment horizontal="right" vertical="top"/>
    </xf>
    <xf numFmtId="167" fontId="5" fillId="10" borderId="5" applyAlignment="1" pivotButton="0" quotePrefix="0" xfId="0">
      <alignment horizontal="right" vertical="top"/>
    </xf>
    <xf numFmtId="167" fontId="0" fillId="11" borderId="5" applyAlignment="1" pivotButton="0" quotePrefix="0" xfId="0">
      <alignment horizontal="right" vertical="top"/>
    </xf>
    <xf numFmtId="167" fontId="0" fillId="10" borderId="5" applyAlignment="1" pivotButton="0" quotePrefix="0" xfId="0">
      <alignment horizontal="right" vertical="top"/>
    </xf>
    <xf numFmtId="167" fontId="3" fillId="3" borderId="1" applyAlignment="1" pivotButton="0" quotePrefix="0" xfId="0">
      <alignment horizontal="right" vertical="top"/>
    </xf>
  </cellXfs>
  <cellStyles count="1">
    <cellStyle name="Normal" xfId="0" builtinId="0" hidden="0"/>
  </cellStyles>
  <dxfs count="3">
    <dxf>
      <fill>
        <patternFill patternType="solid">
          <fgColor rgb="00FCE4D6"/>
        </patternFill>
      </fill>
    </dxf>
    <dxf>
      <fill>
        <patternFill patternType="solid">
          <fgColor rgb="00E2F0D9"/>
        </patternFill>
      </fill>
    </dxf>
    <dxf>
      <fill>
        <patternFill patternType="solid">
          <f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Codex</author>
  </authors>
  <commentList>
    <comment ref="D4" authorId="0" shapeId="0">
      <text>
        <t>Source pointer, not a live external link.</t>
      </text>
    </comment>
    <comment ref="D5" authorId="0" shapeId="0">
      <text>
        <t>Source pointer, not a live external link.</t>
      </text>
    </comment>
    <comment ref="D6" authorId="0" shapeId="0">
      <text>
        <t>Source pointer, not a live external link.</t>
      </text>
    </comment>
    <comment ref="D7" authorId="0" shapeId="0">
      <text>
        <t>Source pointer, not a live external link.</t>
      </text>
    </comment>
    <comment ref="D8" authorId="0" shapeId="0">
      <text>
        <t>Source pointer, not a live external link.</t>
      </text>
    </comment>
    <comment ref="D9" authorId="0" shapeId="0">
      <text>
        <t>Source pointer, not a live external link.</t>
      </text>
    </comment>
    <comment ref="D10" authorId="0" shapeId="0">
      <text>
        <t>Source pointer, not a live external link.</t>
      </text>
    </comment>
    <comment ref="D11" authorId="0" shapeId="0">
      <text>
        <t>Source pointer, not a live external link.</t>
      </text>
    </comment>
    <comment ref="D12" authorId="0" shapeId="0">
      <text>
        <t>Source pointer, not a live external link.</t>
      </text>
    </comment>
    <comment ref="D13" authorId="0" shapeId="0">
      <text>
        <t>Source pointer, not a live external link.</t>
      </text>
    </comment>
    <comment ref="D14" authorId="0" shapeId="0">
      <text>
        <t>Source pointer, not a live external link.</t>
      </text>
    </comment>
    <comment ref="D15" authorId="0" shapeId="0">
      <text>
        <t>Source pointer, not a live external link.</t>
      </text>
    </comment>
    <comment ref="D16" authorId="0" shapeId="0">
      <text>
        <t>Source pointer, not a live external link.</t>
      </text>
    </comment>
    <comment ref="D17" authorId="0" shapeId="0">
      <text>
        <t>Source pointer, not a live external link.</t>
      </text>
    </comment>
    <comment ref="D18" authorId="0" shapeId="0">
      <text>
        <t>Source pointer, not a live external link.</t>
      </text>
    </comment>
    <comment ref="D19" authorId="0" shapeId="0">
      <text>
        <t>Source pointer, not a live external link.</t>
      </text>
    </comment>
    <comment ref="D20" authorId="0" shapeId="0">
      <text>
        <t>Source pointer, not a live external link.</t>
      </text>
    </comment>
    <comment ref="D21" authorId="0" shapeId="0">
      <text>
        <t>Source pointer, not a live external link.</t>
      </text>
    </comment>
    <comment ref="D22" authorId="0" shapeId="0">
      <text>
        <t>Source pointer, not a live external link.</t>
      </text>
    </comment>
    <comment ref="D23" authorId="0" shapeId="0">
      <text>
        <t>Source pointer, not a live external link.</t>
      </text>
    </comment>
    <comment ref="D24" authorId="0" shapeId="0">
      <text>
        <t>Source pointer, not a live external link.</t>
      </text>
    </comment>
    <comment ref="D25" authorId="0" shapeId="0">
      <text>
        <t>Source pointer, not a live external link.</t>
      </text>
    </comment>
    <comment ref="D26" authorId="0" shapeId="0">
      <text>
        <t>Source pointer, not a live external link.</t>
      </text>
    </comment>
    <comment ref="D27" authorId="0" shapeId="0">
      <text>
        <t>Source pointer, not a live external link.</t>
      </text>
    </comment>
    <comment ref="D28" authorId="0" shapeId="0">
      <text>
        <t>Source pointer, not a live external link.</t>
      </text>
    </comment>
    <comment ref="D29" authorId="0" shapeId="0">
      <text>
        <t>Source pointer, not a live external link.</t>
      </text>
    </comment>
  </commentList>
</comments>
</file>

<file path=xl/tables/table1.xml><?xml version="1.0" encoding="utf-8"?>
<table xmlns="http://schemas.openxmlformats.org/spreadsheetml/2006/main" id="1" name="SideBySideComparison" displayName="SideBySideComparison" ref="A12:J36" headerRowCount="1">
  <autoFilter ref="A12:H31"/>
  <tableColumns count="8">
    <tableColumn id="1" name="Category"/>
    <tableColumn id="2" name="Hong Kong £/mo"/>
    <tableColumn id="3" name="UK £/mo"/>
    <tableColumn id="4" name="UK minus HK £/mo"/>
    <tableColumn id="5" name="Higher side"/>
    <tableColumn id="6" name="Validation note"/>
    <tableColumn id="7" name="Confidence"/>
    <tableColumn id="8" name="Source row"/>
  </tableColumns>
  <tableStyleInfo name="TableStyleMedium2" showFirstColumn="0" showLastColumn="0" showRowStripes="0" showColumnStripes="0"/>
</table>
</file>

<file path=xl/tables/table2.xml><?xml version="1.0" encoding="utf-8"?>
<table xmlns="http://schemas.openxmlformats.org/spreadsheetml/2006/main" id="2" name="InputsTbl" displayName="InputsTbl" ref="A3:D29" headerRowCount="1">
  <autoFilter ref="A3:D29"/>
  <tableColumns count="4">
    <tableColumn id="1" name="Input"/>
    <tableColumn id="2" name="Value"/>
    <tableColumn id="3" name="Notes"/>
    <tableColumn id="4" name="Source"/>
  </tableColumns>
  <tableStyleInfo name="TableStyleMedium2" showFirstColumn="0" showLastColumn="0" showRowStripes="1" showColumnStripes="0"/>
</table>
</file>

<file path=xl/tables/table3.xml><?xml version="1.0" encoding="utf-8"?>
<table xmlns="http://schemas.openxmlformats.org/spreadsheetml/2006/main" id="3" name="CategoryMapTbl" displayName="CategoryMapTbl" ref="A3:J22" headerRowCount="1">
  <autoFilter ref="A3:J22"/>
  <tableColumns count="10">
    <tableColumn id="1" name="Category"/>
    <tableColumn id="2" name="HK budget target HKD"/>
    <tableColumn id="3" name="HK stated relocation HKD"/>
    <tableColumn id="4" name="HK actual allocation HKD"/>
    <tableColumn id="5" name="UK forecast GBP"/>
    <tableColumn id="6" name="UK forecast HKD"/>
    <tableColumn id="7" name="Delta UK vs HK actual GBP"/>
    <tableColumn id="8" name="Treatment"/>
    <tableColumn id="9" name="Confidence"/>
    <tableColumn id="10" name="Notes"/>
  </tableColumns>
  <tableStyleInfo name="TableStyleMedium2" showFirstColumn="0" showLastColumn="0" showRowStripes="1" showColumnStripes="0"/>
</table>
</file>

<file path=xl/tables/table4.xml><?xml version="1.0" encoding="utf-8"?>
<table xmlns="http://schemas.openxmlformats.org/spreadsheetml/2006/main" id="4" name="ScenarioSummaryTbl" displayName="ScenarioSummaryTbl" ref="A3:H20" headerRowCount="1">
  <autoFilter ref="A3:H20"/>
  <tableColumns count="8">
    <tableColumn id="1" name="Scenario"/>
    <tableColumn id="2" name="Location"/>
    <tableColumn id="3" name="Gross income HKD/mo"/>
    <tableColumn id="4" name="Net salary HKD/mo"/>
    <tableColumn id="5" name="Property income offset HKD/mo"/>
    <tableColumn id="6" name="Cost basis HKD/mo"/>
    <tableColumn id="7" name="Monthly surplus HKD"/>
    <tableColumn id="8" name="Notes"/>
  </tableColumns>
  <tableStyleInfo name="TableStyleMedium2" showFirstColumn="0" showLastColumn="0" showRowStripes="1" showColumnStripes="0"/>
</table>
</file>

<file path=xl/tables/table5.xml><?xml version="1.0" encoding="utf-8"?>
<table xmlns="http://schemas.openxmlformats.org/spreadsheetml/2006/main" id="5" name="AuditFlagsTbl" displayName="AuditFlagsTbl" ref="A3:C11" headerRowCount="1">
  <autoFilter ref="A3:C11"/>
  <tableColumns count="3">
    <tableColumn id="1" name="Flag"/>
    <tableColumn id="2" name="Severity"/>
    <tableColumn id="3" name="Detail"/>
  </tableColumns>
  <tableStyleInfo name="TableStyleMedium2" showFirstColumn="0" showLastColumn="0" showRowStripes="1" showColumnStripes="0"/>
</table>
</file>

<file path=xl/tables/table6.xml><?xml version="1.0" encoding="utf-8"?>
<table xmlns="http://schemas.openxmlformats.org/spreadsheetml/2006/main" id="6" name="SourceNotesTbl" displayName="SourceNotesTbl" ref="A3:C10" headerRowCount="1">
  <autoFilter ref="A3:C10"/>
  <tableColumns count="3">
    <tableColumn id="1" name="Source"/>
    <tableColumn id="2" name="Used for"/>
    <tableColumn id="3" name="Pa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outlinePr summaryBelow="1" summaryRight="1"/>
    <pageSetUpPr/>
  </sheetPr>
  <dimension ref="A1:J45"/>
  <sheetViews>
    <sheetView showGridLines="0" workbookViewId="0">
      <pane ySplit="12" topLeftCell="A13" activePane="bottomLeft" state="frozen"/>
      <selection pane="bottomLeft" activeCell="A1" sqref="A1"/>
    </sheetView>
  </sheetViews>
  <sheetFormatPr baseColWidth="8" defaultRowHeight="15"/>
  <cols>
    <col width="30" customWidth="1" min="1" max="1"/>
    <col width="16" customWidth="1" min="2" max="2"/>
    <col width="16" customWidth="1" min="3" max="3"/>
    <col width="18" customWidth="1" min="4" max="4"/>
    <col width="15" customWidth="1" min="5" max="5"/>
    <col width="48" customWidth="1" min="6" max="6"/>
    <col width="18" customWidth="1" min="7" max="7"/>
    <col width="18" customWidth="1" min="8" max="8"/>
    <col width="12" customWidth="1" min="9" max="9"/>
    <col width="20" customWidth="1" min="10" max="10"/>
  </cols>
  <sheetData>
    <row r="1" ht="28" customHeight="1">
      <c r="A1" s="17" t="inlineStr">
        <is>
          <t>UK vs Hong Kong - Side-by-side monthly cost comparison</t>
        </is>
      </c>
    </row>
    <row r="2" ht="32" customHeight="1">
      <c r="A2" s="18" t="inlineStr">
        <is>
          <t>Purpose: compare Hong Kong and UK assumptions category by category. Housing now comes from the Housing Mechanics sheet, which splits common property obligations, rent income, mortgage principal and one-off agency fees. Use the validation notes to decide which rows need transaction-level checking.</t>
        </is>
      </c>
      <c r="B2" s="43" t="n"/>
      <c r="C2" s="43" t="n"/>
      <c r="D2" s="43" t="n"/>
      <c r="E2" s="43" t="n"/>
      <c r="F2" s="44" t="n"/>
    </row>
    <row r="3" ht="32" customHeight="1">
      <c r="A3" s="45" t="n"/>
      <c r="B3" s="46" t="n"/>
      <c r="C3" s="46" t="n"/>
      <c r="D3" s="46" t="n"/>
      <c r="E3" s="46" t="n"/>
      <c r="F3" s="47" t="n"/>
    </row>
    <row r="4" ht="34" customHeight="1">
      <c r="A4" s="19" t="inlineStr">
        <is>
          <t>Hong Kong check</t>
        </is>
      </c>
      <c r="B4" s="19" t="inlineStr">
        <is>
          <t>£/mo</t>
        </is>
      </c>
      <c r="C4" s="19" t="inlineStr">
        <is>
          <t>UK check</t>
        </is>
      </c>
      <c r="D4" s="19" t="inlineStr">
        <is>
          <t>£/mo</t>
        </is>
      </c>
      <c r="E4" s="19" t="inlineStr">
        <is>
          <t>Delta / note</t>
        </is>
      </c>
      <c r="F4" s="19" t="inlineStr">
        <is>
          <t>Value</t>
        </is>
      </c>
    </row>
    <row r="5" ht="34" customHeight="1">
      <c r="A5" s="20" t="inlineStr">
        <is>
          <t>HK side-by-side category total</t>
        </is>
      </c>
      <c r="B5" s="21">
        <f>SUM(B13:B33)</f>
        <v/>
      </c>
      <c r="C5" s="20" t="inlineStr">
        <is>
          <t>UK settled category total</t>
        </is>
      </c>
      <c r="D5" s="21">
        <f>SUM(C13:C33)</f>
        <v/>
      </c>
      <c r="E5" s="20" t="inlineStr">
        <is>
          <t>UK minus HK</t>
        </is>
      </c>
      <c r="F5" s="21">
        <f>D5-B5</f>
        <v/>
      </c>
    </row>
    <row r="6" ht="34" customHeight="1">
      <c r="A6" s="20" t="inlineStr">
        <is>
          <t>HK trend benchmark after Cecil offset</t>
        </is>
      </c>
      <c r="B6" s="21">
        <f>Inputs!$B$14/Inputs!$B$4-Inputs!$B$18</f>
        <v/>
      </c>
      <c r="C6" s="20" t="inlineStr">
        <is>
          <t>UK corrected settled cash burn</t>
        </is>
      </c>
      <c r="D6" s="21">
        <f>Inputs!$B$45</f>
        <v/>
      </c>
      <c r="E6" s="20" t="inlineStr">
        <is>
          <t>UK minus HK benchmark</t>
        </is>
      </c>
      <c r="F6" s="21">
        <f>D6-B6</f>
        <v/>
      </c>
    </row>
    <row r="7" ht="34" customHeight="1">
      <c r="A7" s="22" t="inlineStr">
        <is>
          <t>UK search-phase input</t>
        </is>
      </c>
      <c r="B7" s="23">
        <f>Inputs!$B$50</f>
        <v/>
      </c>
      <c r="C7" s="22" t="inlineStr">
        <is>
          <t>UK search-phase column H total</t>
        </is>
      </c>
      <c r="D7" s="23">
        <f>H35</f>
        <v/>
      </c>
      <c r="E7" s="22" t="inlineStr">
        <is>
          <t>Column H minus B50</t>
        </is>
      </c>
      <c r="F7" s="48">
        <f>D7-B7</f>
        <v/>
      </c>
    </row>
    <row r="8"/>
    <row r="9"/>
    <row r="10"/>
    <row r="11"/>
    <row r="12" ht="34" customHeight="1">
      <c r="A12" s="82" t="inlineStr">
        <is>
          <t>Category</t>
        </is>
      </c>
      <c r="B12" s="82" t="inlineStr">
        <is>
          <t>Hong Kong £/mo</t>
        </is>
      </c>
      <c r="C12" s="82" t="inlineStr">
        <is>
          <t>UK £/mo</t>
        </is>
      </c>
      <c r="D12" s="82" t="inlineStr">
        <is>
          <t>UK minus HK £/mo</t>
        </is>
      </c>
      <c r="E12" s="82" t="inlineStr">
        <is>
          <t>Higher side</t>
        </is>
      </c>
      <c r="F12" s="82" t="inlineStr">
        <is>
          <t>Validation note</t>
        </is>
      </c>
      <c r="G12" s="82" t="inlineStr">
        <is>
          <t>Opt (UK, during search)</t>
        </is>
      </c>
      <c r="H12" s="82" t="inlineStr">
        <is>
          <t>UK search-phase GBP/mo</t>
        </is>
      </c>
      <c r="I12" s="82" t="inlineStr">
        <is>
          <t>Confidence</t>
        </is>
      </c>
      <c r="J12" s="82" t="inlineStr">
        <is>
          <t>Source row</t>
        </is>
      </c>
    </row>
    <row r="13" ht="48" customHeight="1">
      <c r="A13" s="56" t="inlineStr">
        <is>
          <t>Housing (net property cash)</t>
        </is>
      </c>
      <c r="B13" s="27">
        <f>'Housing Mechanics'!B31</f>
        <v/>
      </c>
      <c r="C13" s="27">
        <f>'Housing Mechanics'!B32</f>
        <v/>
      </c>
      <c r="D13" s="27">
        <f>C13-B13</f>
        <v/>
      </c>
      <c r="E13" s="26">
        <f>IF(ABS(D13)&lt;25,"Similar",IF(D13&gt;0,"UK higher","HK higher"))</f>
        <v/>
      </c>
      <c r="F13" s="26" t="inlineStr">
        <is>
          <t>Housing Mechanics: net property cash, one-off agency fee excluded.</t>
        </is>
      </c>
      <c r="G13" s="26" t="inlineStr">
        <is>
          <t>Non-optional</t>
        </is>
      </c>
      <c r="H13" s="27">
        <f>C13</f>
        <v/>
      </c>
      <c r="I13" s="26" t="inlineStr">
        <is>
          <t>High</t>
        </is>
      </c>
      <c r="J13" s="26" t="inlineStr">
        <is>
          <t>Housing Mechanics key outputs</t>
        </is>
      </c>
    </row>
    <row r="14" ht="48" customHeight="1">
      <c r="A14" s="53" t="inlineStr">
        <is>
          <t>Tax</t>
        </is>
      </c>
      <c r="B14" s="31">
        <f>'Category Map'!D5/Inputs!$B$4</f>
        <v/>
      </c>
      <c r="C14" s="31">
        <f>'Category Map'!E5</f>
        <v/>
      </c>
      <c r="D14" s="31">
        <f>C14-B14</f>
        <v/>
      </c>
      <c r="E14" s="30">
        <f>IF(ABS(D14)&lt;25,"Similar",IF(D14&gt;0,"UK higher","HK higher"))</f>
        <v/>
      </c>
      <c r="F14" s="30" t="inlineStr">
        <is>
          <t>Income-tax handled in income scenarios.</t>
        </is>
      </c>
      <c r="G14" s="30" t="inlineStr">
        <is>
          <t>Non-optional</t>
        </is>
      </c>
      <c r="H14" s="31">
        <f>C14</f>
        <v/>
      </c>
      <c r="I14" s="30" t="inlineStr">
        <is>
          <t>High</t>
        </is>
      </c>
      <c r="J14" s="30" t="inlineStr">
        <is>
          <t>Category Map row 5</t>
        </is>
      </c>
    </row>
    <row r="15" ht="48" customHeight="1">
      <c r="A15" s="56" t="inlineStr">
        <is>
          <t>Travel</t>
        </is>
      </c>
      <c r="B15" s="27">
        <f>'Category Map'!D6/Inputs!$B$4</f>
        <v/>
      </c>
      <c r="C15" s="27">
        <f>'Category Map'!E6</f>
        <v/>
      </c>
      <c r="D15" s="27">
        <f>C15-B15</f>
        <v/>
      </c>
      <c r="E15" s="26">
        <f>IF(ABS(D15)&lt;25,"Similar",IF(D15&gt;0,"UK higher","HK higher"))</f>
        <v/>
      </c>
      <c r="F15" s="26" t="inlineStr">
        <is>
          <t>Not in corrected UK burn B45; review separately if needed.</t>
        </is>
      </c>
      <c r="G15" s="26" t="inlineStr">
        <is>
          <t>Discretionary</t>
        </is>
      </c>
      <c r="H15" s="27">
        <f>0</f>
        <v/>
      </c>
      <c r="I15" s="26" t="inlineStr">
        <is>
          <t>Low</t>
        </is>
      </c>
      <c r="J15" s="26" t="inlineStr">
        <is>
          <t>Category Map row 6</t>
        </is>
      </c>
    </row>
    <row r="16" ht="48" customHeight="1">
      <c r="A16" s="53" t="inlineStr">
        <is>
          <t>Tuition</t>
        </is>
      </c>
      <c r="B16" s="31">
        <f>'Category Map'!D7/Inputs!$B$4</f>
        <v/>
      </c>
      <c r="C16" s="31">
        <f>'Category Map'!E7</f>
        <v/>
      </c>
      <c r="D16" s="31">
        <f>C16-B16</f>
        <v/>
      </c>
      <c r="E16" s="30">
        <f>IF(ABS(D16)&lt;25,"Similar",IF(D16&gt;0,"UK higher","HK higher"))</f>
        <v/>
      </c>
      <c r="F16" s="30" t="inlineStr">
        <is>
          <t>UK state school removes school fees.</t>
        </is>
      </c>
      <c r="G16" s="30" t="inlineStr">
        <is>
          <t>Non-optional</t>
        </is>
      </c>
      <c r="H16" s="31">
        <f>C16</f>
        <v/>
      </c>
      <c r="I16" s="30" t="inlineStr">
        <is>
          <t>High</t>
        </is>
      </c>
      <c r="J16" s="30" t="inlineStr">
        <is>
          <t>Category Map row 7</t>
        </is>
      </c>
    </row>
    <row r="17" ht="48" customHeight="1">
      <c r="A17" s="56" t="inlineStr">
        <is>
          <t>Dining out</t>
        </is>
      </c>
      <c r="B17" s="27">
        <f>'Category Map'!D8/Inputs!$B$4</f>
        <v/>
      </c>
      <c r="C17" s="27">
        <f>'Category Map'!E8</f>
        <v/>
      </c>
      <c r="D17" s="27">
        <f>C17-B17</f>
        <v/>
      </c>
      <c r="E17" s="26">
        <f>IF(ABS(D17)&lt;25,"Similar",IF(D17&gt;0,"UK higher","HK higher"))</f>
        <v/>
      </c>
      <c r="F17" s="26" t="inlineStr">
        <is>
          <t>Discretionary during search: keep 40%.</t>
        </is>
      </c>
      <c r="G17" s="26" t="inlineStr">
        <is>
          <t>Discretionary</t>
        </is>
      </c>
      <c r="H17" s="27">
        <f>C17*0.4</f>
        <v/>
      </c>
      <c r="I17" s="26" t="inlineStr">
        <is>
          <t>Medium</t>
        </is>
      </c>
      <c r="J17" s="26" t="inlineStr">
        <is>
          <t>Category Map row 8</t>
        </is>
      </c>
    </row>
    <row r="18" ht="48" customHeight="1">
      <c r="A18" s="53" t="inlineStr">
        <is>
          <t>Groceries</t>
        </is>
      </c>
      <c r="B18" s="31">
        <f>'Category Map'!D9/Inputs!$B$4</f>
        <v/>
      </c>
      <c r="C18" s="31">
        <f>'Category Map'!E9</f>
        <v/>
      </c>
      <c r="D18" s="31">
        <f>C18-B18</f>
        <v/>
      </c>
      <c r="E18" s="30">
        <f>IF(ABS(D18)&lt;25,"Similar",IF(D18&gt;0,"UK higher","HK higher"))</f>
        <v/>
      </c>
      <c r="F18" s="30" t="inlineStr">
        <is>
          <t>Non-optional food line.</t>
        </is>
      </c>
      <c r="G18" s="30" t="inlineStr">
        <is>
          <t>Non-optional</t>
        </is>
      </c>
      <c r="H18" s="31">
        <f>C18</f>
        <v/>
      </c>
      <c r="I18" s="30" t="inlineStr">
        <is>
          <t>Medium</t>
        </is>
      </c>
      <c r="J18" s="30" t="inlineStr">
        <is>
          <t>Category Map row 9</t>
        </is>
      </c>
    </row>
    <row r="19" ht="48" customHeight="1">
      <c r="A19" s="56" t="inlineStr">
        <is>
          <t>Bills / household utilities</t>
        </is>
      </c>
      <c r="B19" s="27">
        <f>'Category Map'!D10/Inputs!$B$4</f>
        <v/>
      </c>
      <c r="C19" s="27">
        <f>'Category Map'!E10</f>
        <v/>
      </c>
      <c r="D19" s="27">
        <f>C19-B19</f>
        <v/>
      </c>
      <c r="E19" s="26">
        <f>IF(ABS(D19)&lt;25,"Similar",IF(D19&gt;0,"UK higher","HK higher"))</f>
        <v/>
      </c>
      <c r="F19" s="26" t="inlineStr">
        <is>
          <t>HK helper split out; this is utilities/household bills only.</t>
        </is>
      </c>
      <c r="G19" s="26" t="inlineStr">
        <is>
          <t>Non-optional</t>
        </is>
      </c>
      <c r="H19" s="27">
        <f>C19</f>
        <v/>
      </c>
      <c r="I19" s="26" t="inlineStr">
        <is>
          <t>Medium</t>
        </is>
      </c>
      <c r="J19" s="26" t="inlineStr">
        <is>
          <t>Category Map row 10</t>
        </is>
      </c>
    </row>
    <row r="20" ht="48" customHeight="1">
      <c r="A20" s="53" t="inlineStr">
        <is>
          <t>Health / gym</t>
        </is>
      </c>
      <c r="B20" s="31">
        <f>'Category Map'!D11/Inputs!$B$4</f>
        <v/>
      </c>
      <c r="C20" s="31">
        <f>'Category Map'!E11</f>
        <v/>
      </c>
      <c r="D20" s="31">
        <f>C20-B20</f>
        <v/>
      </c>
      <c r="E20" s="30">
        <f>IF(ABS(D20)&lt;25,"Similar",IF(D20&gt;0,"UK higher","HK higher"))</f>
        <v/>
      </c>
      <c r="F20" s="30" t="inlineStr">
        <is>
          <t>Discretionary during search: cut to zero.</t>
        </is>
      </c>
      <c r="G20" s="30" t="inlineStr">
        <is>
          <t>Discretionary</t>
        </is>
      </c>
      <c r="H20" s="31">
        <f>0</f>
        <v/>
      </c>
      <c r="I20" s="30" t="inlineStr">
        <is>
          <t>Medium</t>
        </is>
      </c>
      <c r="J20" s="30" t="inlineStr">
        <is>
          <t>Category Map row 11</t>
        </is>
      </c>
    </row>
    <row r="21" ht="48" customHeight="1">
      <c r="A21" s="56" t="inlineStr">
        <is>
          <t>Leisure</t>
        </is>
      </c>
      <c r="B21" s="27">
        <f>'Category Map'!D12/Inputs!$B$4</f>
        <v/>
      </c>
      <c r="C21" s="27">
        <f>'Category Map'!E12</f>
        <v/>
      </c>
      <c r="D21" s="27">
        <f>C21-B21</f>
        <v/>
      </c>
      <c r="E21" s="26">
        <f>IF(ABS(D21)&lt;25,"Similar",IF(D21&gt;0,"UK higher","HK higher"))</f>
        <v/>
      </c>
      <c r="F21" s="26" t="inlineStr">
        <is>
          <t>Discretionary during search: keep 30%.</t>
        </is>
      </c>
      <c r="G21" s="26" t="inlineStr">
        <is>
          <t>Discretionary</t>
        </is>
      </c>
      <c r="H21" s="27">
        <f>C21*0.3</f>
        <v/>
      </c>
      <c r="I21" s="26" t="inlineStr">
        <is>
          <t>Medium</t>
        </is>
      </c>
      <c r="J21" s="26" t="inlineStr">
        <is>
          <t>Category Map row 12</t>
        </is>
      </c>
    </row>
    <row r="22" ht="48" customHeight="1">
      <c r="A22" s="53" t="inlineStr">
        <is>
          <t>Medical</t>
        </is>
      </c>
      <c r="B22" s="31">
        <f>'Category Map'!D13/Inputs!$B$4</f>
        <v/>
      </c>
      <c r="C22" s="31">
        <f>'Category Map'!E13</f>
        <v/>
      </c>
      <c r="D22" s="31">
        <f>C22-B22</f>
        <v/>
      </c>
      <c r="E22" s="30">
        <f>IF(ABS(D22)&lt;25,"Similar",IF(D22&gt;0,"UK higher","HK higher"))</f>
        <v/>
      </c>
      <c r="F22" s="30" t="inlineStr">
        <is>
          <t>NHS line, currently zero.</t>
        </is>
      </c>
      <c r="G22" s="30" t="inlineStr">
        <is>
          <t>Non-optional</t>
        </is>
      </c>
      <c r="H22" s="31">
        <f>C22</f>
        <v/>
      </c>
      <c r="I22" s="30" t="inlineStr">
        <is>
          <t>Medium</t>
        </is>
      </c>
      <c r="J22" s="30" t="inlineStr">
        <is>
          <t>Category Map row 13</t>
        </is>
      </c>
    </row>
    <row r="23" ht="48" customHeight="1">
      <c r="A23" s="56" t="inlineStr">
        <is>
          <t>Transport (TfL)</t>
        </is>
      </c>
      <c r="B23" s="27">
        <f>'Category Map'!D14/Inputs!$B$4</f>
        <v/>
      </c>
      <c r="C23" s="27">
        <f>'Category Map'!E14</f>
        <v/>
      </c>
      <c r="D23" s="27">
        <f>C23-B23</f>
        <v/>
      </c>
      <c r="E23" s="26">
        <f>IF(ABS(D23)&lt;25,"Similar",IF(D23&gt;0,"UK higher","HK higher"))</f>
        <v/>
      </c>
      <c r="F23" s="26" t="inlineStr">
        <is>
          <t>TfL / rail line, separate from car.</t>
        </is>
      </c>
      <c r="G23" s="26" t="inlineStr">
        <is>
          <t>Non-optional</t>
        </is>
      </c>
      <c r="H23" s="27">
        <f>C23</f>
        <v/>
      </c>
      <c r="I23" s="26" t="inlineStr">
        <is>
          <t>Medium</t>
        </is>
      </c>
      <c r="J23" s="26" t="inlineStr">
        <is>
          <t>Category Map row 14</t>
        </is>
      </c>
    </row>
    <row r="24" ht="48" customHeight="1">
      <c r="A24" s="53" t="inlineStr">
        <is>
          <t>Car</t>
        </is>
      </c>
      <c r="B24" s="31">
        <f>'Category Map'!D15/Inputs!$B$4</f>
        <v/>
      </c>
      <c r="C24" s="31">
        <f>'Category Map'!E15</f>
        <v/>
      </c>
      <c r="D24" s="31">
        <f>C24-B24</f>
        <v/>
      </c>
      <c r="E24" s="30">
        <f>IF(ABS(D24)&lt;25,"Similar",IF(D24&gt;0,"UK higher","HK higher"))</f>
        <v/>
      </c>
      <c r="F24" s="30" t="inlineStr">
        <is>
          <t>Settled-life car running cost; deferred during search.</t>
        </is>
      </c>
      <c r="G24" s="30" t="inlineStr">
        <is>
          <t>Discretionary</t>
        </is>
      </c>
      <c r="H24" s="31">
        <f>Inputs!$B$47</f>
        <v/>
      </c>
      <c r="I24" s="30" t="inlineStr">
        <is>
          <t>Medium</t>
        </is>
      </c>
      <c r="J24" s="30" t="inlineStr">
        <is>
          <t>Category Map row 15</t>
        </is>
      </c>
    </row>
    <row r="25" ht="48" customHeight="1">
      <c r="A25" s="56" t="inlineStr">
        <is>
          <t>Shopping / clothing</t>
        </is>
      </c>
      <c r="B25" s="27">
        <f>'Category Map'!D16/Inputs!$B$4</f>
        <v/>
      </c>
      <c r="C25" s="27">
        <f>'Category Map'!E16</f>
        <v/>
      </c>
      <c r="D25" s="27">
        <f>C25-B25</f>
        <v/>
      </c>
      <c r="E25" s="26">
        <f>IF(ABS(D25)&lt;25,"Similar",IF(D25&gt;0,"UK higher","HK higher"))</f>
        <v/>
      </c>
      <c r="F25" s="26" t="inlineStr">
        <is>
          <t>Discretionary during search: keep 40%.</t>
        </is>
      </c>
      <c r="G25" s="26" t="inlineStr">
        <is>
          <t>Discretionary</t>
        </is>
      </c>
      <c r="H25" s="27">
        <f>C25*0.4</f>
        <v/>
      </c>
      <c r="I25" s="26" t="inlineStr">
        <is>
          <t>Low</t>
        </is>
      </c>
      <c r="J25" s="26" t="inlineStr">
        <is>
          <t>Category Map row 16</t>
        </is>
      </c>
    </row>
    <row r="26" ht="48" customHeight="1">
      <c r="A26" s="53" t="inlineStr">
        <is>
          <t>Beauty / personal care</t>
        </is>
      </c>
      <c r="B26" s="31">
        <f>'Category Map'!D17/Inputs!$B$4</f>
        <v/>
      </c>
      <c r="C26" s="31">
        <f>'Category Map'!E17</f>
        <v/>
      </c>
      <c r="D26" s="31">
        <f>C26-B26</f>
        <v/>
      </c>
      <c r="E26" s="30">
        <f>IF(ABS(D26)&lt;25,"Similar",IF(D26&gt;0,"UK higher","HK higher"))</f>
        <v/>
      </c>
      <c r="F26" s="30" t="inlineStr">
        <is>
          <t>Personal care retained during search.</t>
        </is>
      </c>
      <c r="G26" s="30" t="inlineStr">
        <is>
          <t>Non-optional</t>
        </is>
      </c>
      <c r="H26" s="31">
        <f>C26</f>
        <v/>
      </c>
      <c r="I26" s="30" t="inlineStr">
        <is>
          <t>Medium</t>
        </is>
      </c>
      <c r="J26" s="30" t="inlineStr">
        <is>
          <t>Category Map row 17</t>
        </is>
      </c>
    </row>
    <row r="27" ht="48" customHeight="1">
      <c r="A27" s="56" t="inlineStr">
        <is>
          <t>Savings &amp; Investments</t>
        </is>
      </c>
      <c r="B27" s="27">
        <f>'Category Map'!D18/Inputs!$B$4</f>
        <v/>
      </c>
      <c r="C27" s="27">
        <f>'Category Map'!E18</f>
        <v/>
      </c>
      <c r="D27" s="27">
        <f>C27-B27</f>
        <v/>
      </c>
      <c r="E27" s="26">
        <f>IF(ABS(D27)&lt;25,"Similar",IF(D27&gt;0,"UK higher","HK higher"))</f>
        <v/>
      </c>
      <c r="F27" s="26" t="inlineStr">
        <is>
          <t>Excluded from floor.</t>
        </is>
      </c>
      <c r="G27" s="26" t="inlineStr">
        <is>
          <t>Discretionary</t>
        </is>
      </c>
      <c r="H27" s="27">
        <f>0</f>
        <v/>
      </c>
      <c r="I27" s="26" t="inlineStr">
        <is>
          <t>High</t>
        </is>
      </c>
      <c r="J27" s="26" t="inlineStr">
        <is>
          <t>Category Map row 18</t>
        </is>
      </c>
    </row>
    <row r="28" ht="48" customHeight="1">
      <c r="A28" s="53" t="inlineStr">
        <is>
          <t>Financial / work subs</t>
        </is>
      </c>
      <c r="B28" s="31">
        <f>'Category Map'!D19/Inputs!$B$4</f>
        <v/>
      </c>
      <c r="C28" s="31">
        <f>'Category Map'!E19</f>
        <v/>
      </c>
      <c r="D28" s="31">
        <f>C28-B28</f>
        <v/>
      </c>
      <c r="E28" s="30">
        <f>IF(ABS(D28)&lt;25,"Similar",IF(D28&gt;0,"UK higher","HK higher"))</f>
        <v/>
      </c>
      <c r="F28" s="30" t="inlineStr">
        <is>
          <t>Work AI subscriptions retained.</t>
        </is>
      </c>
      <c r="G28" s="30" t="inlineStr">
        <is>
          <t>Non-optional</t>
        </is>
      </c>
      <c r="H28" s="31">
        <f>C28</f>
        <v/>
      </c>
      <c r="I28" s="30" t="inlineStr">
        <is>
          <t>Medium</t>
        </is>
      </c>
      <c r="J28" s="30" t="inlineStr">
        <is>
          <t>Category Map row 19</t>
        </is>
      </c>
    </row>
    <row r="29" ht="48" customHeight="1">
      <c r="A29" s="56" t="inlineStr">
        <is>
          <t>Sophia essentials</t>
        </is>
      </c>
      <c r="B29" s="27">
        <f>'Category Map'!D20/Inputs!$B$4</f>
        <v/>
      </c>
      <c r="C29" s="27">
        <f>'Category Map'!E20</f>
        <v/>
      </c>
      <c r="D29" s="27">
        <f>C29-B29</f>
        <v/>
      </c>
      <c r="E29" s="26">
        <f>IF(ABS(D29)&lt;25,"Similar",IF(D29&gt;0,"UK higher","HK higher"))</f>
        <v/>
      </c>
      <c r="F29" s="26" t="inlineStr">
        <is>
          <t>Provisional 50% split of Sophia line until itemised.</t>
        </is>
      </c>
      <c r="G29" s="26" t="inlineStr">
        <is>
          <t>Non-optional</t>
        </is>
      </c>
      <c r="H29" s="27">
        <f>C29</f>
        <v/>
      </c>
      <c r="I29" s="26" t="inlineStr">
        <is>
          <t>Low</t>
        </is>
      </c>
      <c r="J29" s="26" t="inlineStr">
        <is>
          <t>Category Map row 20</t>
        </is>
      </c>
    </row>
    <row r="30" ht="48" customHeight="1">
      <c r="A30" s="53" t="inlineStr">
        <is>
          <t>Sophia clubs/activities</t>
        </is>
      </c>
      <c r="B30" s="31">
        <f>'Category Map'!D21/Inputs!$B$4</f>
        <v/>
      </c>
      <c r="C30" s="31">
        <f>'Category Map'!E21</f>
        <v/>
      </c>
      <c r="D30" s="31">
        <f>C30-B30</f>
        <v/>
      </c>
      <c r="E30" s="30">
        <f>IF(ABS(D30)&lt;25,"Similar",IF(D30&gt;0,"UK higher","HK higher"))</f>
        <v/>
      </c>
      <c r="F30" s="30" t="inlineStr">
        <is>
          <t>Discretionary during search: halve.</t>
        </is>
      </c>
      <c r="G30" s="30" t="inlineStr">
        <is>
          <t>Discretionary</t>
        </is>
      </c>
      <c r="H30" s="31">
        <f>C30*0.5</f>
        <v/>
      </c>
      <c r="I30" s="30" t="inlineStr">
        <is>
          <t>Low</t>
        </is>
      </c>
      <c r="J30" s="30" t="inlineStr">
        <is>
          <t>Category Map row 21</t>
        </is>
      </c>
    </row>
    <row r="31" ht="48" customHeight="1">
      <c r="A31" s="56" t="inlineStr">
        <is>
          <t>Buffer / lumpy</t>
        </is>
      </c>
      <c r="B31" s="27">
        <f>'Category Map'!D22/Inputs!$B$4</f>
        <v/>
      </c>
      <c r="C31" s="27">
        <f>'Category Map'!E22</f>
        <v/>
      </c>
      <c r="D31" s="27">
        <f>C31-B31</f>
        <v/>
      </c>
      <c r="E31" s="26">
        <f>IF(ABS(D31)&lt;25,"Similar",IF(D31&gt;0,"UK higher","HK higher"))</f>
        <v/>
      </c>
      <c r="F31" s="26" t="inlineStr">
        <is>
          <t>Discretionary during search: keep 50%.</t>
        </is>
      </c>
      <c r="G31" s="26" t="inlineStr">
        <is>
          <t>Discretionary</t>
        </is>
      </c>
      <c r="H31" s="27">
        <f>C31*0.5</f>
        <v/>
      </c>
      <c r="I31" s="26" t="inlineStr">
        <is>
          <t>Low</t>
        </is>
      </c>
      <c r="J31" s="26" t="inlineStr">
        <is>
          <t>Category Map row 22</t>
        </is>
      </c>
    </row>
    <row r="32" ht="48" customHeight="1">
      <c r="A32" s="53" t="inlineStr">
        <is>
          <t>Domestic help / cleaner</t>
        </is>
      </c>
      <c r="B32" s="83">
        <f>'Category Map'!D23/Inputs!$B$4</f>
        <v/>
      </c>
      <c r="C32" s="83">
        <f>'Category Map'!E23</f>
        <v/>
      </c>
      <c r="D32" s="83">
        <f>C32-B32</f>
        <v/>
      </c>
      <c r="E32" s="53">
        <f>IF(ABS(D32)&lt;25,"Similar",IF(D32&gt;0,"UK higher","HK higher"))</f>
        <v/>
      </c>
      <c r="F32" s="53" t="inlineStr">
        <is>
          <t>Settled cleaner B26; search-phase cleaning B49.</t>
        </is>
      </c>
      <c r="G32" s="30" t="inlineStr">
        <is>
          <t>Discretionary</t>
        </is>
      </c>
      <c r="H32" s="31">
        <f>Inputs!$B$49</f>
        <v/>
      </c>
      <c r="I32" s="53" t="inlineStr">
        <is>
          <t>Low</t>
        </is>
      </c>
      <c r="J32" s="53" t="inlineStr">
        <is>
          <t>Category Map row 23</t>
        </is>
      </c>
    </row>
    <row r="33" ht="48" customHeight="1">
      <c r="A33" s="56" t="inlineStr">
        <is>
          <t>Babysitting / childcare cover</t>
        </is>
      </c>
      <c r="B33" s="27">
        <f>'Category Map'!D24/Inputs!$B$4</f>
        <v/>
      </c>
      <c r="C33" s="27">
        <f>'Category Map'!E24</f>
        <v/>
      </c>
      <c r="D33" s="27">
        <f>C33-B33</f>
        <v/>
      </c>
      <c r="E33" s="26">
        <f>IF(ABS(D33)&lt;25,"Similar",IF(D33&gt;0,"UK higher","HK higher"))</f>
        <v/>
      </c>
      <c r="F33" s="26" t="inlineStr">
        <is>
          <t>Settled babysitting B42; search-phase babysitting B48.</t>
        </is>
      </c>
      <c r="G33" s="26" t="inlineStr">
        <is>
          <t>Discretionary</t>
        </is>
      </c>
      <c r="H33" s="27">
        <f>Inputs!$B$48</f>
        <v/>
      </c>
      <c r="I33" s="26" t="inlineStr">
        <is>
          <t>Low</t>
        </is>
      </c>
      <c r="J33" s="26" t="inlineStr">
        <is>
          <t>Category Map row 24</t>
        </is>
      </c>
    </row>
    <row r="34">
      <c r="A34" s="84" t="inlineStr">
        <is>
          <t>UK settled total (all lines)</t>
        </is>
      </c>
      <c r="B34" s="85" t="n"/>
      <c r="C34" s="85">
        <f>SUM(C13:C33)</f>
        <v/>
      </c>
      <c r="D34" s="85">
        <f>C34-Inputs!$B$45</f>
        <v/>
      </c>
      <c r="E34" s="84" t="n"/>
      <c r="F34" s="84" t="inlineStr">
        <is>
          <t>Column C sum versus Inputs B45 corrected cash burn</t>
        </is>
      </c>
      <c r="G34" s="84" t="n"/>
      <c r="H34" s="85">
        <f>Inputs!$B$45</f>
        <v/>
      </c>
      <c r="I34" s="84" t="n"/>
      <c r="J34" s="84" t="inlineStr">
        <is>
          <t>Inputs B45</t>
        </is>
      </c>
    </row>
    <row r="35">
      <c r="A35" s="84" t="inlineStr">
        <is>
          <t>UK SEARCH-PHASE non-optional floor total</t>
        </is>
      </c>
      <c r="B35" s="85" t="n"/>
      <c r="C35" s="85">
        <f>Inputs!$B$50</f>
        <v/>
      </c>
      <c r="D35" s="85">
        <f>H35-C35</f>
        <v/>
      </c>
      <c r="E35" s="84" t="n"/>
      <c r="F35" s="84">
        <f>IF(ABS(H35-Inputs!$B$50)&lt;=25,"Ties to Inputs B50","Diverges from B50 because Column H applies discretionary cuts to dining, leisure, shopping, buffer and Sophia activities; Inputs B50 only swaps cleaner, babysitting and car on top of base burn.")</f>
        <v/>
      </c>
      <c r="G35" s="84" t="n"/>
      <c r="H35" s="85">
        <f>SUM(H13:H33)</f>
        <v/>
      </c>
      <c r="I35" s="84" t="n"/>
      <c r="J35" s="84" t="inlineStr">
        <is>
          <t>Column H vs Inputs B50</t>
        </is>
      </c>
    </row>
    <row r="36">
      <c r="A36" s="84" t="inlineStr">
        <is>
          <t>Malvern cash burn context</t>
        </is>
      </c>
      <c r="B36" s="85" t="n"/>
      <c r="C36" s="85" t="n">
        <v>1593</v>
      </c>
      <c r="D36" s="85" t="n"/>
      <c r="E36" s="84" t="n"/>
      <c r="F36" s="84" t="inlineStr">
        <is>
          <t>Echo from uk-move-financial-model section 9, as requested</t>
        </is>
      </c>
      <c r="G36" s="84" t="n"/>
      <c r="H36" s="85" t="n"/>
      <c r="I36" s="84" t="n"/>
      <c r="J36" s="84" t="inlineStr">
        <is>
          <t>Context only</t>
        </is>
      </c>
    </row>
    <row r="37">
      <c r="A37" s="61" t="inlineStr">
        <is>
          <t>Search tie note</t>
        </is>
      </c>
      <c r="B37" s="63" t="n"/>
      <c r="C37" s="86" t="n"/>
      <c r="D37" s="86" t="n"/>
      <c r="E37" s="63" t="n"/>
      <c r="F37" s="63" t="inlineStr">
        <is>
          <t>If Column H is materially below B50, the workbook is exposing two different search assumptions: true discretionary cuts versus B50 lean burn. Decide which one should govern the decision model.</t>
        </is>
      </c>
      <c r="G37" s="63" t="n"/>
      <c r="H37" s="86" t="n"/>
      <c r="I37" s="63" t="n"/>
      <c r="J37" s="63" t="n"/>
    </row>
    <row r="38">
      <c r="A38" s="37" t="n"/>
      <c r="B38" s="49" t="n"/>
    </row>
    <row r="39">
      <c r="A39" s="87" t="inlineStr">
        <is>
          <t>How to read this sheet</t>
        </is>
      </c>
      <c r="B39" s="46" t="n"/>
      <c r="C39" s="46" t="n"/>
      <c r="D39" s="46" t="n"/>
      <c r="E39" s="46" t="n"/>
      <c r="F39" s="46" t="n"/>
      <c r="G39" s="46" t="n"/>
      <c r="H39" s="46" t="n"/>
      <c r="I39" s="46" t="n"/>
      <c r="J39" s="46" t="n"/>
    </row>
    <row r="40">
      <c r="A40" s="88" t="inlineStr">
        <is>
          <t>1</t>
        </is>
      </c>
      <c r="B40" s="26" t="inlineStr">
        <is>
          <t>Column C is settled-life UK cost. It should tie approximately to Inputs B45.</t>
        </is>
      </c>
      <c r="C40" s="26" t="n"/>
      <c r="D40" s="26" t="n"/>
      <c r="E40" s="26" t="n"/>
      <c r="F40" s="26" t="n"/>
      <c r="G40" s="26" t="n"/>
      <c r="H40" s="26" t="n"/>
      <c r="I40" s="26" t="n"/>
      <c r="J40" s="26" t="n"/>
    </row>
    <row r="41">
      <c r="A41" s="89" t="inlineStr">
        <is>
          <t>2</t>
        </is>
      </c>
      <c r="B41" s="90" t="inlineStr">
        <is>
          <t>Column G classifies each UK line during job search using the Non-optional / Discretionary convention from budget.md.</t>
        </is>
      </c>
      <c r="C41" s="90" t="n"/>
      <c r="D41" s="90" t="n"/>
      <c r="E41" s="90" t="n"/>
      <c r="F41" s="90" t="n"/>
      <c r="G41" s="90" t="n"/>
      <c r="H41" s="90" t="n"/>
      <c r="I41" s="90" t="n"/>
      <c r="J41" s="90" t="n"/>
    </row>
    <row r="42">
      <c r="A42" s="88" t="inlineStr">
        <is>
          <t>3</t>
        </is>
      </c>
      <c r="B42" s="26" t="inlineStr">
        <is>
          <t>Column H is the search-phase floor after discretionary cuts. It is intentionally checked against Inputs B50.</t>
        </is>
      </c>
      <c r="C42" s="26" t="n"/>
      <c r="D42" s="26" t="n"/>
      <c r="E42" s="26" t="n"/>
      <c r="F42" s="26" t="n"/>
      <c r="G42" s="26" t="n"/>
      <c r="H42" s="26" t="n"/>
      <c r="I42" s="26" t="n"/>
      <c r="J42" s="26" t="n"/>
    </row>
    <row r="43">
      <c r="A43" s="89" t="inlineStr">
        <is>
          <t>4</t>
        </is>
      </c>
      <c r="B43" s="90" t="inlineStr">
        <is>
          <t>If Column H diverges from B50, the note above explains the modelling difference rather than hiding it.</t>
        </is>
      </c>
      <c r="C43" s="90" t="n"/>
      <c r="D43" s="90" t="n"/>
      <c r="E43" s="90" t="n"/>
      <c r="F43" s="90" t="n"/>
      <c r="G43" s="90" t="n"/>
      <c r="H43" s="90" t="n"/>
      <c r="I43" s="90" t="n"/>
      <c r="J43" s="90" t="n"/>
    </row>
    <row r="44"/>
    <row r="45"/>
  </sheetData>
  <autoFilter ref="A12:H31"/>
  <mergeCells count="7">
    <mergeCell ref="A2:F3"/>
    <mergeCell ref="B42:J42"/>
    <mergeCell ref="A1:F1"/>
    <mergeCell ref="A39:J39"/>
    <mergeCell ref="B40:J40"/>
    <mergeCell ref="B41:J41"/>
    <mergeCell ref="B43:J43"/>
  </mergeCells>
  <conditionalFormatting sqref="D13:D31">
    <cfRule type="expression" priority="1" dxfId="0">
      <formula>D13&gt;0</formula>
    </cfRule>
    <cfRule type="expression" priority="2" dxfId="1">
      <formula>D13&lt;0</formula>
    </cfRule>
  </conditionalFormatting>
  <conditionalFormatting sqref="E13:E31">
    <cfRule type="expression" priority="3" dxfId="0">
      <formula>$E13="UK higher"</formula>
    </cfRule>
    <cfRule type="expression" priority="4" dxfId="1">
      <formula>$E13="HK higher"</formula>
    </cfRule>
    <cfRule type="expression" priority="5" dxfId="2">
      <formula>$E13="Similar"</formula>
    </cfRule>
  </conditionalFormatting>
  <conditionalFormatting sqref="D13:D32">
    <cfRule type="expression" priority="6" dxfId="0">
      <formula>D13&gt;0</formula>
    </cfRule>
    <cfRule type="expression" priority="7" dxfId="1">
      <formula>D13&lt;0</formula>
    </cfRule>
  </conditionalFormatting>
  <conditionalFormatting sqref="D13:D36">
    <cfRule type="expression" priority="8" dxfId="0">
      <formula>D13&gt;0</formula>
    </cfRule>
    <cfRule type="expression" priority="9" dxfId="1">
      <formula>D13&lt;0</formula>
    </cfRule>
  </conditionalFormatting>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35"/>
  <sheetViews>
    <sheetView showGridLines="0" workbookViewId="0">
      <pane ySplit="5" topLeftCell="A6" activePane="bottomLeft" state="frozen"/>
      <selection pane="bottomLeft" activeCell="A1" sqref="A1"/>
    </sheetView>
  </sheetViews>
  <sheetFormatPr baseColWidth="8" defaultRowHeight="15"/>
  <cols>
    <col width="34" customWidth="1" min="1" max="1"/>
    <col width="16" customWidth="1" min="2" max="2"/>
    <col width="16" customWidth="1" min="3" max="3"/>
    <col width="18" customWidth="1" min="4" max="4"/>
    <col width="16" customWidth="1" min="5" max="5"/>
    <col width="18" customWidth="1" min="6" max="6"/>
    <col width="32" customWidth="1" min="7" max="7"/>
    <col width="42" customWidth="1" min="8" max="8"/>
  </cols>
  <sheetData>
    <row r="1" ht="28" customHeight="1">
      <c r="A1" s="51" t="inlineStr">
        <is>
          <t>Housing mechanics - split owner costs, debt service, rent and one-offs</t>
        </is>
      </c>
    </row>
    <row r="2" ht="34" customHeight="1">
      <c r="A2" s="52" t="inlineStr">
        <is>
          <t>Housing cannot be compared as HK$29k versus a UK housing line. Both properties are owned in both scenarios, and several costs are paid regardless of location. This sheet separates common owner obligations from the rent and tax flows that actually change when Julian is in Hong Kong versus London.</t>
        </is>
      </c>
      <c r="B2" s="43" t="n"/>
      <c r="C2" s="43" t="n"/>
      <c r="D2" s="43" t="n"/>
      <c r="E2" s="43" t="n"/>
      <c r="F2" s="43" t="n"/>
      <c r="G2" s="43" t="n"/>
      <c r="H2" s="44" t="n"/>
    </row>
    <row r="3" ht="34" customHeight="1">
      <c r="A3" s="45" t="n"/>
      <c r="B3" s="46" t="n"/>
      <c r="C3" s="46" t="n"/>
      <c r="D3" s="46" t="n"/>
      <c r="E3" s="46" t="n"/>
      <c r="F3" s="46" t="n"/>
      <c r="G3" s="46" t="n"/>
      <c r="H3" s="47" t="n"/>
    </row>
    <row r="5">
      <c r="A5" s="25" t="inlineStr">
        <is>
          <t>Property</t>
        </is>
      </c>
      <c r="B5" s="25" t="inlineStr">
        <is>
          <t>Component</t>
        </is>
      </c>
      <c r="C5" s="25" t="inlineStr">
        <is>
          <t>HKD/mo</t>
        </is>
      </c>
      <c r="D5" s="25" t="inlineStr">
        <is>
          <t>GBP/mo</t>
        </is>
      </c>
      <c r="E5" s="25" t="inlineStr">
        <is>
          <t>Common both?</t>
        </is>
      </c>
      <c r="F5" s="25" t="inlineStr">
        <is>
          <t>HK-stay</t>
        </is>
      </c>
      <c r="G5" s="25" t="inlineStr">
        <is>
          <t>London</t>
        </is>
      </c>
      <c r="H5" s="25" t="inlineStr">
        <is>
          <t>Notes</t>
        </is>
      </c>
    </row>
    <row r="6" ht="36" customHeight="1">
      <c r="A6" s="53" t="inlineStr">
        <is>
          <t>DB flat</t>
        </is>
      </c>
      <c r="B6" s="54" t="inlineStr">
        <is>
          <t>Mortgage total</t>
        </is>
      </c>
      <c r="C6" s="55">
        <f>'Inputs'!B32</f>
        <v/>
      </c>
      <c r="D6" s="55">
        <f>C6/'Inputs'!$B$4</f>
        <v/>
      </c>
      <c r="E6" s="30" t="inlineStr">
        <is>
          <t>Yes</t>
        </is>
      </c>
      <c r="F6" s="30" t="inlineStr">
        <is>
          <t>Home cost</t>
        </is>
      </c>
      <c r="G6" s="30" t="inlineStr">
        <is>
          <t>Let cost</t>
        </is>
      </c>
      <c r="H6" s="30" t="inlineStr">
        <is>
          <t>Debt service paid either way</t>
        </is>
      </c>
    </row>
    <row r="7" ht="36" customHeight="1">
      <c r="A7" s="56" t="inlineStr">
        <is>
          <t>DB flat</t>
        </is>
      </c>
      <c r="B7" s="57" t="inlineStr">
        <is>
          <t>of which interest</t>
        </is>
      </c>
      <c r="C7" s="58">
        <f>'Inputs'!B33</f>
        <v/>
      </c>
      <c r="D7" s="58">
        <f>C7/'Inputs'!$B$4</f>
        <v/>
      </c>
      <c r="E7" s="26" t="inlineStr">
        <is>
          <t>Yes</t>
        </is>
      </c>
      <c r="F7" s="26" t="inlineStr">
        <is>
          <t>Included above</t>
        </is>
      </c>
      <c r="G7" s="26" t="inlineStr">
        <is>
          <t>Included above</t>
        </is>
      </c>
      <c r="H7" s="26" t="inlineStr">
        <is>
          <t>Consumption cost, but paid either way while flat is held</t>
        </is>
      </c>
    </row>
    <row r="8" ht="36" customHeight="1">
      <c r="A8" s="53" t="inlineStr">
        <is>
          <t>DB flat</t>
        </is>
      </c>
      <c r="B8" s="54" t="inlineStr">
        <is>
          <t>of which principal</t>
        </is>
      </c>
      <c r="C8" s="55">
        <f>'Inputs'!B34</f>
        <v/>
      </c>
      <c r="D8" s="55">
        <f>C8/'Inputs'!$B$4</f>
        <v/>
      </c>
      <c r="E8" s="30" t="inlineStr">
        <is>
          <t>Yes</t>
        </is>
      </c>
      <c r="F8" s="30" t="inlineStr">
        <is>
          <t>Included above</t>
        </is>
      </c>
      <c r="G8" s="30" t="inlineStr">
        <is>
          <t>Included above</t>
        </is>
      </c>
      <c r="H8" s="30" t="inlineStr">
        <is>
          <t>Equity repayment, not consumption</t>
        </is>
      </c>
    </row>
    <row r="9" ht="36" customHeight="1">
      <c r="A9" s="56" t="inlineStr">
        <is>
          <t>DB flat</t>
        </is>
      </c>
      <c r="B9" s="57" t="inlineStr">
        <is>
          <t>Management fee</t>
        </is>
      </c>
      <c r="C9" s="58">
        <f>'Inputs'!B35</f>
        <v/>
      </c>
      <c r="D9" s="58">
        <f>C9/'Inputs'!$B$4</f>
        <v/>
      </c>
      <c r="E9" s="26" t="inlineStr">
        <is>
          <t>Yes</t>
        </is>
      </c>
      <c r="F9" s="26" t="inlineStr">
        <is>
          <t>Home cost</t>
        </is>
      </c>
      <c r="G9" s="26" t="inlineStr">
        <is>
          <t>Let cost</t>
        </is>
      </c>
      <c r="H9" s="26" t="inlineStr">
        <is>
          <t>Paid while flat is held</t>
        </is>
      </c>
    </row>
    <row r="10" ht="36" customHeight="1">
      <c r="A10" s="53" t="inlineStr">
        <is>
          <t>DB flat</t>
        </is>
      </c>
      <c r="B10" s="54" t="inlineStr">
        <is>
          <t>Rates</t>
        </is>
      </c>
      <c r="C10" s="55">
        <f>'Inputs'!B36</f>
        <v/>
      </c>
      <c r="D10" s="55">
        <f>C10/'Inputs'!$B$4</f>
        <v/>
      </c>
      <c r="E10" s="30" t="inlineStr">
        <is>
          <t>Yes</t>
        </is>
      </c>
      <c r="F10" s="30" t="inlineStr">
        <is>
          <t>Home cost</t>
        </is>
      </c>
      <c r="G10" s="30" t="inlineStr">
        <is>
          <t>Let cost</t>
        </is>
      </c>
      <c r="H10" s="30" t="inlineStr">
        <is>
          <t>Paid while flat is held</t>
        </is>
      </c>
    </row>
    <row r="11" ht="36" customHeight="1">
      <c r="A11" s="56" t="inlineStr">
        <is>
          <t>DB flat</t>
        </is>
      </c>
      <c r="B11" s="57" t="inlineStr">
        <is>
          <t>HK property tax when let</t>
        </is>
      </c>
      <c r="C11" s="58">
        <f>'Inputs'!B37</f>
        <v/>
      </c>
      <c r="D11" s="58">
        <f>C11/'Inputs'!$B$4</f>
        <v/>
      </c>
      <c r="E11" s="26" t="inlineStr">
        <is>
          <t>No</t>
        </is>
      </c>
      <c r="F11" s="26" t="inlineStr">
        <is>
          <t>No</t>
        </is>
      </c>
      <c r="G11" s="26" t="inlineStr">
        <is>
          <t>Yes</t>
        </is>
      </c>
      <c r="H11" s="26" t="inlineStr">
        <is>
          <t>Only arises when DB flat is rented out</t>
        </is>
      </c>
    </row>
    <row r="12" ht="36" customHeight="1">
      <c r="A12" s="53" t="inlineStr">
        <is>
          <t>DB flat</t>
        </is>
      </c>
      <c r="B12" s="54" t="inlineStr">
        <is>
          <t>Rent when let</t>
        </is>
      </c>
      <c r="C12" s="55">
        <f>'Inputs'!B30</f>
        <v/>
      </c>
      <c r="D12" s="55">
        <f>C12/'Inputs'!$B$4</f>
        <v/>
      </c>
      <c r="E12" s="30" t="inlineStr">
        <is>
          <t>No</t>
        </is>
      </c>
      <c r="F12" s="30" t="inlineStr">
        <is>
          <t>No</t>
        </is>
      </c>
      <c r="G12" s="30" t="inlineStr">
        <is>
          <t>Income</t>
        </is>
      </c>
      <c r="H12" s="30" t="inlineStr">
        <is>
          <t>Anticipated HK$22,000/mo rent</t>
        </is>
      </c>
    </row>
    <row r="13" ht="36" customHeight="1">
      <c r="A13" s="56" t="inlineStr">
        <is>
          <t>DB flat</t>
        </is>
      </c>
      <c r="B13" s="57" t="inlineStr">
        <is>
          <t>Letting agency fee</t>
        </is>
      </c>
      <c r="C13" s="58">
        <f>'Inputs'!B31</f>
        <v/>
      </c>
      <c r="D13" s="58">
        <f>C13/'Inputs'!$B$4</f>
        <v/>
      </c>
      <c r="E13" s="26" t="inlineStr">
        <is>
          <t>No</t>
        </is>
      </c>
      <c r="F13" s="26" t="inlineStr">
        <is>
          <t>No</t>
        </is>
      </c>
      <c r="G13" s="26" t="inlineStr">
        <is>
          <t>One-off</t>
        </is>
      </c>
      <c r="H13" s="26" t="inlineStr">
        <is>
          <t>One-off 50% of one month rent, excluded from monthly central</t>
        </is>
      </c>
    </row>
    <row r="14" ht="36" customHeight="1">
      <c r="A14" s="53" t="inlineStr">
        <is>
          <t>Cecil Road</t>
        </is>
      </c>
      <c r="B14" s="54" t="inlineStr">
        <is>
          <t>Mortgage</t>
        </is>
      </c>
      <c r="C14" s="55">
        <f>'Inputs'!B38*'Inputs'!$B$4</f>
        <v/>
      </c>
      <c r="D14" s="55">
        <f>'Inputs'!B38</f>
        <v/>
      </c>
      <c r="E14" s="30" t="inlineStr">
        <is>
          <t>Yes</t>
        </is>
      </c>
      <c r="F14" s="30" t="inlineStr">
        <is>
          <t>Let cost</t>
        </is>
      </c>
      <c r="G14" s="30" t="inlineStr">
        <is>
          <t>Home cost</t>
        </is>
      </c>
      <c r="H14" s="30" t="inlineStr">
        <is>
          <t>Interest-only mortgage paid either way</t>
        </is>
      </c>
    </row>
    <row r="15" ht="36" customHeight="1">
      <c r="A15" s="56" t="inlineStr">
        <is>
          <t>Cecil Road</t>
        </is>
      </c>
      <c r="B15" s="57" t="inlineStr">
        <is>
          <t>Insurance</t>
        </is>
      </c>
      <c r="C15" s="58">
        <f>'Inputs'!B39*'Inputs'!$B$4</f>
        <v/>
      </c>
      <c r="D15" s="58">
        <f>'Inputs'!B39</f>
        <v/>
      </c>
      <c r="E15" s="26" t="inlineStr">
        <is>
          <t>Yes</t>
        </is>
      </c>
      <c r="F15" s="26" t="inlineStr">
        <is>
          <t>Let cost</t>
        </is>
      </c>
      <c r="G15" s="26" t="inlineStr">
        <is>
          <t>Home cost</t>
        </is>
      </c>
      <c r="H15" s="26" t="inlineStr">
        <is>
          <t>Buildings insurance paid either way</t>
        </is>
      </c>
    </row>
    <row r="16" ht="36" customHeight="1">
      <c r="A16" s="53" t="inlineStr">
        <is>
          <t>Cecil Road</t>
        </is>
      </c>
      <c r="B16" s="54" t="inlineStr">
        <is>
          <t>Take-home rent before owner costs</t>
        </is>
      </c>
      <c r="C16" s="55">
        <f>'Inputs'!B40*'Inputs'!$B$4</f>
        <v/>
      </c>
      <c r="D16" s="55">
        <f>'Inputs'!B40</f>
        <v/>
      </c>
      <c r="E16" s="30" t="inlineStr">
        <is>
          <t>No</t>
        </is>
      </c>
      <c r="F16" s="30" t="inlineStr">
        <is>
          <t>Income</t>
        </is>
      </c>
      <c r="G16" s="30" t="inlineStr">
        <is>
          <t>No</t>
        </is>
      </c>
      <c r="H16" s="30" t="inlineStr">
        <is>
          <t>Rent after management and rent protection</t>
        </is>
      </c>
    </row>
    <row r="17" ht="36" customHeight="1">
      <c r="A17" s="56" t="inlineStr">
        <is>
          <t>Cecil Road</t>
        </is>
      </c>
      <c r="B17" s="57" t="inlineStr">
        <is>
          <t>UK rental tax</t>
        </is>
      </c>
      <c r="C17" s="58">
        <f>'Inputs'!B41*'Inputs'!$B$4</f>
        <v/>
      </c>
      <c r="D17" s="58">
        <f>'Inputs'!B41</f>
        <v/>
      </c>
      <c r="E17" s="26" t="inlineStr">
        <is>
          <t>No</t>
        </is>
      </c>
      <c r="F17" s="26" t="inlineStr">
        <is>
          <t>Yes</t>
        </is>
      </c>
      <c r="G17" s="26" t="inlineStr">
        <is>
          <t>No</t>
        </is>
      </c>
      <c r="H17" s="26" t="inlineStr">
        <is>
          <t>Only arises when Cecil is rented out</t>
        </is>
      </c>
    </row>
    <row r="21">
      <c r="A21" s="36" t="inlineStr">
        <is>
          <t>Monthly comparison views</t>
        </is>
      </c>
    </row>
    <row r="22">
      <c r="A22" s="59" t="inlineStr">
        <is>
          <t>View</t>
        </is>
      </c>
      <c r="B22" s="59" t="inlineStr">
        <is>
          <t>HK-stay £/mo</t>
        </is>
      </c>
      <c r="C22" s="59" t="inlineStr">
        <is>
          <t>London £/mo</t>
        </is>
      </c>
      <c r="D22" s="59" t="inlineStr">
        <is>
          <t>London minus HK £/mo</t>
        </is>
      </c>
      <c r="E22" s="59" t="inlineStr">
        <is>
          <t>Read</t>
        </is>
      </c>
      <c r="F22" s="59" t="inlineStr">
        <is>
          <t>Included in side-by-side?</t>
        </is>
      </c>
      <c r="G22" s="59" t="inlineStr">
        <is>
          <t>Formula basis</t>
        </is>
      </c>
      <c r="H22" s="59" t="inlineStr">
        <is>
          <t>Notes</t>
        </is>
      </c>
    </row>
    <row r="23" ht="48" customHeight="1">
      <c r="A23" s="56" t="inlineStr">
        <is>
          <t>Pure location rent/tax flows, common owner costs excluded</t>
        </is>
      </c>
      <c r="B23" s="27">
        <f>-('Inputs'!B40-'Inputs'!B41)</f>
        <v/>
      </c>
      <c r="C23" s="27">
        <f>-('Inputs'!B30-'Inputs'!B37)/'Inputs'!$B$4</f>
        <v/>
      </c>
      <c r="D23" s="27">
        <f>C23-B23</f>
        <v/>
      </c>
      <c r="E23" s="26">
        <f>IF(D23&gt;0,"London worse",IF(D23&lt;0,"London better","No difference"))</f>
        <v/>
      </c>
      <c r="F23" s="26" t="inlineStr">
        <is>
          <t>Diagnostic</t>
        </is>
      </c>
      <c r="G23" s="26" t="inlineStr">
        <is>
          <t>Only rent and tax flows that differ by location</t>
        </is>
      </c>
      <c r="H23" s="26" t="inlineStr">
        <is>
          <t>Shows the same delta after cancelling common obligations.</t>
        </is>
      </c>
    </row>
    <row r="24" ht="48" customHeight="1">
      <c r="A24" s="53" t="inlineStr">
        <is>
          <t>Full monthly property cash cost, excluding one-off agency fee</t>
        </is>
      </c>
      <c r="B24" s="31">
        <f>('Inputs'!B32+'Inputs'!B35+'Inputs'!B36)/'Inputs'!$B$4-'Inputs'!B18</f>
        <v/>
      </c>
      <c r="C24" s="31">
        <f>'Inputs'!B38+'Inputs'!B39+('Inputs'!B32+'Inputs'!B35+'Inputs'!B36+'Inputs'!B37-'Inputs'!B30)/'Inputs'!$B$4</f>
        <v/>
      </c>
      <c r="D24" s="31">
        <f>C24-B24</f>
        <v/>
      </c>
      <c r="E24" s="30">
        <f>IF(D24&gt;0,"London worse",IF(D24&lt;0,"London better","No difference"))</f>
        <v/>
      </c>
      <c r="F24" s="30" t="inlineStr">
        <is>
          <t>Yes</t>
        </is>
      </c>
      <c r="G24" s="30" t="inlineStr">
        <is>
          <t>All monthly cash outflows and rent offsets, one-off agency excluded</t>
        </is>
      </c>
      <c r="H24" s="30" t="inlineStr">
        <is>
          <t>This replaces the misleading HK £2,900 versus UK £1,289 housing row.</t>
        </is>
      </c>
    </row>
    <row r="25" ht="48" customHeight="1">
      <c r="A25" s="56" t="inlineStr">
        <is>
          <t>Net-worth basis, DB principal added back both sides</t>
        </is>
      </c>
      <c r="B25" s="27">
        <f>B24-'Inputs'!B21</f>
        <v/>
      </c>
      <c r="C25" s="27">
        <f>C24-'Inputs'!B21</f>
        <v/>
      </c>
      <c r="D25" s="27">
        <f>C25-B25</f>
        <v/>
      </c>
      <c r="E25" s="26">
        <f>IF(D25&gt;0,"London worse",IF(D25&lt;0,"London better","No difference"))</f>
        <v/>
      </c>
      <c r="F25" s="26" t="inlineStr">
        <is>
          <t>Diagnostic</t>
        </is>
      </c>
      <c r="G25" s="26" t="inlineStr">
        <is>
          <t>Cash view less DB principal/equity component</t>
        </is>
      </c>
      <c r="H25" s="26" t="inlineStr">
        <is>
          <t>Same delta because DB principal is common.</t>
        </is>
      </c>
    </row>
    <row r="26" ht="48" customHeight="1">
      <c r="A26" s="53" t="inlineStr">
        <is>
          <t>First-year average if agency fee spread over 12 months</t>
        </is>
      </c>
      <c r="B26" s="31">
        <f>B24</f>
        <v/>
      </c>
      <c r="C26" s="31">
        <f>C24+'Inputs'!B31/'Inputs'!$B$4/12</f>
        <v/>
      </c>
      <c r="D26" s="31">
        <f>C26-B26</f>
        <v/>
      </c>
      <c r="E26" s="30">
        <f>IF(D26&gt;0,"London worse",IF(D26&lt;0,"London better","No difference"))</f>
        <v/>
      </c>
      <c r="F26" s="30" t="inlineStr">
        <is>
          <t>Sensitivity</t>
        </is>
      </c>
      <c r="G26" s="30" t="inlineStr">
        <is>
          <t>One-off fee annualised for first-year cash planning</t>
        </is>
      </c>
      <c r="H26" s="30" t="inlineStr">
        <is>
          <t>Do not treat as permanent monthly burn.</t>
        </is>
      </c>
    </row>
    <row r="30">
      <c r="A30" s="36" t="inlineStr">
        <is>
          <t>Key outputs</t>
        </is>
      </c>
    </row>
    <row r="31" ht="34" customHeight="1">
      <c r="A31" s="56" t="inlineStr">
        <is>
          <t>HK-stay monthly housing cost for side-by-side</t>
        </is>
      </c>
      <c r="B31" s="60">
        <f>B24</f>
        <v/>
      </c>
      <c r="C31" s="72" t="inlineStr">
        <is>
          <t>Used as Side by Side HK housing row</t>
        </is>
      </c>
      <c r="D31" s="46" t="n"/>
      <c r="E31" s="46" t="n"/>
      <c r="F31" s="46" t="n"/>
      <c r="G31" s="46" t="n"/>
      <c r="H31" s="46" t="n"/>
    </row>
    <row r="32" ht="34" customHeight="1">
      <c r="A32" s="56" t="inlineStr">
        <is>
          <t>London monthly housing cost for side-by-side</t>
        </is>
      </c>
      <c r="B32" s="60">
        <f>C24</f>
        <v/>
      </c>
      <c r="C32" s="72" t="inlineStr">
        <is>
          <t>Used as Side by Side UK housing row</t>
        </is>
      </c>
      <c r="D32" s="46" t="n"/>
      <c r="E32" s="46" t="n"/>
      <c r="F32" s="46" t="n"/>
      <c r="G32" s="46" t="n"/>
      <c r="H32" s="46" t="n"/>
    </row>
    <row r="33" ht="34" customHeight="1">
      <c r="A33" s="61" t="inlineStr">
        <is>
          <t>Ongoing monthly London disadvantage</t>
        </is>
      </c>
      <c r="B33" s="62">
        <f>D24</f>
        <v/>
      </c>
      <c r="C33" s="73" t="inlineStr">
        <is>
          <t>About £59/mo before one-off agency fee</t>
        </is>
      </c>
      <c r="D33" s="46" t="n"/>
      <c r="E33" s="46" t="n"/>
      <c r="F33" s="46" t="n"/>
      <c r="G33" s="46" t="n"/>
      <c r="H33" s="46" t="n"/>
    </row>
    <row r="34" ht="34" customHeight="1">
      <c r="A34" s="56" t="inlineStr">
        <is>
          <t>One-off DB letting agency fee</t>
        </is>
      </c>
      <c r="B34" s="60">
        <f>'Inputs'!B31/'Inputs'!$B$4</f>
        <v/>
      </c>
      <c r="C34" s="72" t="inlineStr">
        <is>
          <t>About £1,100 one-off</t>
        </is>
      </c>
      <c r="D34" s="46" t="n"/>
      <c r="E34" s="46" t="n"/>
      <c r="F34" s="46" t="n"/>
      <c r="G34" s="46" t="n"/>
      <c r="H34" s="46" t="n"/>
    </row>
    <row r="35" ht="34" customHeight="1">
      <c r="A35" s="56" t="inlineStr">
        <is>
          <t>First-year agency equivalent</t>
        </is>
      </c>
      <c r="B35" s="60">
        <f>'Inputs'!B31/'Inputs'!$B$4/12</f>
        <v/>
      </c>
      <c r="C35" s="72" t="inlineStr">
        <is>
          <t>About £92/mo for year one only</t>
        </is>
      </c>
      <c r="D35" s="46" t="n"/>
      <c r="E35" s="46" t="n"/>
      <c r="F35" s="46" t="n"/>
      <c r="G35" s="46" t="n"/>
      <c r="H35" s="46" t="n"/>
    </row>
  </sheetData>
  <mergeCells count="9">
    <mergeCell ref="C33:H33"/>
    <mergeCell ref="C32:H32"/>
    <mergeCell ref="A21:H21"/>
    <mergeCell ref="A30:H30"/>
    <mergeCell ref="C31:H31"/>
    <mergeCell ref="A2:H3"/>
    <mergeCell ref="C35:H35"/>
    <mergeCell ref="A1:H1"/>
    <mergeCell ref="C34:H34"/>
  </mergeCells>
  <conditionalFormatting sqref="D23:D26">
    <cfRule type="expression" priority="1" dxfId="0">
      <formula>D23&gt;0</formula>
    </cfRule>
    <cfRule type="expression" priority="3" dxfId="0">
      <formula>D23&gt;0</formula>
    </cfRule>
    <cfRule type="expression" priority="4" dxfId="1">
      <formula>D23&lt;0</formula>
    </cfRule>
  </conditionalFormatting>
  <conditionalFormatting sqref="B31:B35">
    <cfRule type="expression" priority="2" dxfId="0">
      <formula>D23&gt;0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1"/>
  <sheetViews>
    <sheetView showGridLines="0" workbookViewId="0">
      <pane ySplit="3" topLeftCell="A4" activePane="bottomLeft" state="frozen"/>
      <selection pane="bottomLeft" activeCell="A1" sqref="A1"/>
    </sheetView>
  </sheetViews>
  <sheetFormatPr baseColWidth="8" defaultRowHeight="15"/>
  <cols>
    <col width="36" customWidth="1" min="1" max="1"/>
    <col width="16" customWidth="1" min="2" max="2"/>
    <col width="62" customWidth="1" min="3" max="3"/>
    <col width="48" customWidth="1" min="4" max="4"/>
  </cols>
  <sheetData>
    <row r="1">
      <c r="A1" s="1" t="inlineStr">
        <is>
          <t>UK vs HK Income Floor Reconciliation</t>
        </is>
      </c>
    </row>
    <row r="2">
      <c r="A2" s="3" t="inlineStr">
        <is>
          <t>Editable assumptions. Yellow cells are primary inputs; blue cells are source-derived constants.</t>
        </is>
      </c>
    </row>
    <row r="3">
      <c r="A3" s="4" t="inlineStr">
        <is>
          <t>Input</t>
        </is>
      </c>
      <c r="B3" s="4" t="inlineStr">
        <is>
          <t>Value</t>
        </is>
      </c>
      <c r="C3" s="4" t="inlineStr">
        <is>
          <t>Notes</t>
        </is>
      </c>
      <c r="D3" s="4" t="inlineStr">
        <is>
          <t>Source</t>
        </is>
      </c>
      <c r="E3" s="2" t="n"/>
      <c r="F3" s="2" t="n"/>
      <c r="G3" s="2" t="n"/>
      <c r="H3" s="2" t="n"/>
      <c r="I3" s="2" t="n"/>
      <c r="J3" s="2" t="n"/>
    </row>
    <row r="4">
      <c r="A4" s="2" t="inlineStr">
        <is>
          <t>FX HKD per GBP</t>
        </is>
      </c>
      <c r="B4" s="5" t="n">
        <v>10</v>
      </c>
      <c r="C4" s="2" t="inlineStr">
        <is>
          <t>Model convention used across relocation files.</t>
        </is>
      </c>
      <c r="D4" s="2" t="inlineStr">
        <is>
          <t>finance/uk-vs-hk-cost-comparison.md</t>
        </is>
      </c>
      <c r="E4" s="2" t="n"/>
      <c r="F4" s="2" t="n"/>
      <c r="G4" s="2" t="n"/>
      <c r="H4" s="2" t="n"/>
      <c r="I4" s="2" t="n"/>
      <c r="J4" s="2" t="n"/>
    </row>
    <row r="5">
      <c r="A5" s="2" t="inlineStr">
        <is>
          <t>HK 100k role gross monthly HKD</t>
        </is>
      </c>
      <c r="B5" s="5" t="n">
        <v>100000</v>
      </c>
      <c r="C5" s="2" t="inlineStr">
        <is>
          <t>Lower-paid HK role test raised by Julian.</t>
        </is>
      </c>
      <c r="D5" s="2" t="inlineStr">
        <is>
          <t>finance/uk-move-financial-model.md §8</t>
        </is>
      </c>
      <c r="E5" s="2" t="n"/>
      <c r="F5" s="2" t="n"/>
      <c r="G5" s="2" t="n"/>
      <c r="H5" s="2" t="n"/>
      <c r="I5" s="2" t="n"/>
      <c r="J5" s="2" t="n"/>
    </row>
    <row r="6">
      <c r="A6" s="2" t="inlineStr">
        <is>
          <t>HK 100k role effective tax rate</t>
        </is>
      </c>
      <c r="B6" s="6" t="n">
        <v>0.15</v>
      </c>
      <c r="C6" s="2" t="inlineStr">
        <is>
          <t>Rounded salaries-tax assumption used in current model.</t>
        </is>
      </c>
      <c r="D6" s="2" t="inlineStr">
        <is>
          <t>finance/uk-move-financial-model.md §8</t>
        </is>
      </c>
      <c r="E6" s="2" t="n"/>
      <c r="F6" s="2" t="n"/>
      <c r="G6" s="2" t="n"/>
      <c r="H6" s="2" t="n"/>
      <c r="I6" s="2" t="n"/>
      <c r="J6" s="2" t="n"/>
    </row>
    <row r="7">
      <c r="A7" s="2" t="inlineStr">
        <is>
          <t>HK senior role gross monthly HKD</t>
        </is>
      </c>
      <c r="B7" s="5" t="n">
        <v>125000</v>
      </c>
      <c r="C7" s="2" t="inlineStr">
        <is>
          <t>Mid senior role sensitivity.</t>
        </is>
      </c>
      <c r="D7" s="2" t="inlineStr">
        <is>
          <t>Scenario input</t>
        </is>
      </c>
      <c r="E7" s="2" t="n"/>
      <c r="F7" s="2" t="n"/>
      <c r="G7" s="2" t="n"/>
      <c r="H7" s="2" t="n"/>
      <c r="I7" s="2" t="n"/>
      <c r="J7" s="2" t="n"/>
    </row>
    <row r="8">
      <c r="A8" s="2" t="inlineStr">
        <is>
          <t>HK senior role effective tax rate</t>
        </is>
      </c>
      <c r="B8" s="6" t="n">
        <v>0.15</v>
      </c>
      <c r="C8" s="2" t="inlineStr">
        <is>
          <t>Rounded salaries-tax assumption.</t>
        </is>
      </c>
      <c r="D8" s="2" t="inlineStr">
        <is>
          <t>Scenario input</t>
        </is>
      </c>
      <c r="E8" s="2" t="n"/>
      <c r="F8" s="2" t="n"/>
      <c r="G8" s="2" t="n"/>
      <c r="H8" s="2" t="n"/>
      <c r="I8" s="2" t="n"/>
      <c r="J8" s="2" t="n"/>
    </row>
    <row r="9">
      <c r="A9" s="2" t="inlineStr">
        <is>
          <t>UK strong role gross annual GBP</t>
        </is>
      </c>
      <c r="B9" s="5" t="n">
        <v>120000</v>
      </c>
      <c r="C9" s="2" t="inlineStr">
        <is>
          <t>UK strong-but-not-150k scenario.</t>
        </is>
      </c>
      <c r="D9" s="2" t="inlineStr">
        <is>
          <t>career/uk-150k-feasibility-jh-clarifications-2026-07-09.md</t>
        </is>
      </c>
      <c r="E9" s="2" t="n"/>
      <c r="F9" s="2" t="n"/>
      <c r="G9" s="2" t="n"/>
      <c r="H9" s="2" t="n"/>
      <c r="I9" s="2" t="n"/>
      <c r="J9" s="2" t="n"/>
    </row>
    <row r="10">
      <c r="A10" s="2" t="inlineStr">
        <is>
          <t>UK strong role net annual GBP</t>
        </is>
      </c>
      <c r="B10" s="5" t="n">
        <v>76158</v>
      </c>
      <c r="C10" s="2" t="inlineStr">
        <is>
          <t>PAYE estimate, no pension salary sacrifice.</t>
        </is>
      </c>
      <c r="D10" s="2" t="inlineStr">
        <is>
          <t>career/uk-150k-feasibility-jh-clarifications-2026-07-09.md</t>
        </is>
      </c>
      <c r="E10" s="2" t="n"/>
      <c r="F10" s="2" t="n"/>
      <c r="G10" s="2" t="n"/>
      <c r="H10" s="2" t="n"/>
      <c r="I10" s="2" t="n"/>
      <c r="J10" s="2" t="n"/>
    </row>
    <row r="11">
      <c r="A11" s="2" t="inlineStr">
        <is>
          <t>UK floor role gross annual GBP</t>
        </is>
      </c>
      <c r="B11" s="5" t="n">
        <v>77500</v>
      </c>
      <c r="C11" s="2" t="inlineStr">
        <is>
          <t>Cash-flow break-even gross floor.</t>
        </is>
      </c>
      <c r="D11" s="2" t="inlineStr">
        <is>
          <t>career/uk-150k-feasibility-report.md</t>
        </is>
      </c>
      <c r="E11" s="2" t="n"/>
      <c r="F11" s="2" t="n"/>
      <c r="G11" s="2" t="n"/>
      <c r="H11" s="2" t="n"/>
      <c r="I11" s="2" t="n"/>
      <c r="J11" s="2" t="n"/>
    </row>
    <row r="12">
      <c r="A12" s="2" t="inlineStr">
        <is>
          <t>UK floor role net annual GBP</t>
        </is>
      </c>
      <c r="B12" s="5" t="n">
        <v>55508</v>
      </c>
      <c r="C12" s="2" t="inlineStr">
        <is>
          <t>PAYE estimate, no pension salary sacrifice.</t>
        </is>
      </c>
      <c r="D12" s="2" t="inlineStr">
        <is>
          <t>career/uk-150k-feasibility-jh-clarifications-2026-07-09.md</t>
        </is>
      </c>
      <c r="E12" s="2" t="n"/>
      <c r="F12" s="2" t="n"/>
      <c r="G12" s="2" t="n"/>
      <c r="H12" s="2" t="n"/>
      <c r="I12" s="2" t="n"/>
      <c r="J12" s="2" t="n"/>
    </row>
    <row r="13">
      <c r="A13" s="2" t="inlineStr">
        <is>
          <t>HK actual 12-mo mean burn HKD</t>
        </is>
      </c>
      <c r="B13" s="5" t="n">
        <v>92196</v>
      </c>
      <c r="C13" s="2" t="inlineStr">
        <is>
          <t>Actual monthly burn, Jul 2025-Jun 2026.</t>
        </is>
      </c>
      <c r="D13" s="2" t="inlineStr">
        <is>
          <t>finance/uk-move-financial-model.md §1</t>
        </is>
      </c>
      <c r="E13" s="2" t="n"/>
      <c r="F13" s="2" t="n"/>
      <c r="G13" s="2" t="n"/>
      <c r="H13" s="2" t="n"/>
      <c r="I13" s="2" t="n"/>
      <c r="J13" s="2" t="n"/>
    </row>
    <row r="14">
      <c r="A14" s="2" t="inlineStr">
        <is>
          <t>HK actual 6-mo trend burn HKD</t>
        </is>
      </c>
      <c r="B14" s="5" t="n">
        <v>83940</v>
      </c>
      <c r="C14" s="2" t="inlineStr">
        <is>
          <t>Recent monthly burn, Jan-Jun 2026.</t>
        </is>
      </c>
      <c r="D14" s="2" t="inlineStr">
        <is>
          <t>finance/uk-move-financial-model.md §1</t>
        </is>
      </c>
      <c r="E14" s="2" t="n"/>
      <c r="F14" s="2" t="n"/>
      <c r="G14" s="2" t="n"/>
      <c r="H14" s="2" t="n"/>
      <c r="I14" s="2" t="n"/>
      <c r="J14" s="2" t="n"/>
    </row>
    <row r="15">
      <c r="A15" s="2" t="inlineStr">
        <is>
          <t>HK stated category total HKD</t>
        </is>
      </c>
      <c r="B15" s="5" t="n">
        <v>74800</v>
      </c>
      <c r="C15" s="2" t="inlineStr">
        <is>
          <t>Simplified relocation-model categories.</t>
        </is>
      </c>
      <c r="D15" s="2" t="inlineStr">
        <is>
          <t>finance/uk-move-financial-model.md §1</t>
        </is>
      </c>
      <c r="E15" s="2" t="n"/>
      <c r="F15" s="2" t="n"/>
      <c r="G15" s="2" t="n"/>
      <c r="H15" s="2" t="n"/>
      <c r="I15" s="2" t="n"/>
      <c r="J15" s="2" t="n"/>
    </row>
    <row r="16">
      <c r="A16" s="2" t="inlineStr">
        <is>
          <t>HK canonical budget total HKD</t>
        </is>
      </c>
      <c r="B16" s="5" t="n">
        <v>146674</v>
      </c>
      <c r="C16" s="2" t="inlineStr">
        <is>
          <t>Full economic monthly budget from budget.md.</t>
        </is>
      </c>
      <c r="D16" s="2" t="inlineStr">
        <is>
          <t>finance/budget.md</t>
        </is>
      </c>
      <c r="E16" s="2" t="n"/>
      <c r="F16" s="2" t="n"/>
      <c r="G16" s="2" t="n"/>
      <c r="H16" s="2" t="n"/>
      <c r="I16" s="2" t="n"/>
      <c r="J16" s="2" t="n"/>
    </row>
    <row r="17">
      <c r="A17" s="2" t="inlineStr">
        <is>
          <t>HK HSBC budget lens HKD</t>
        </is>
      </c>
      <c r="B17" s="5" t="n">
        <v>61738</v>
      </c>
      <c r="C17" s="2" t="inlineStr">
        <is>
          <t>HSBC-account-only monthly budget.</t>
        </is>
      </c>
      <c r="D17" s="2" t="inlineStr">
        <is>
          <t>finance/budget.md</t>
        </is>
      </c>
      <c r="E17" s="2" t="n"/>
      <c r="F17" s="2" t="n"/>
      <c r="G17" s="2" t="n"/>
      <c r="H17" s="2" t="n"/>
      <c r="I17" s="2" t="n"/>
      <c r="J17" s="2" t="n"/>
    </row>
    <row r="18">
      <c r="A18" s="2" t="inlineStr">
        <is>
          <t>Cecil Road net rent to HK-stay GBP</t>
        </is>
      </c>
      <c r="B18" s="5" t="n">
        <v>1736</v>
      </c>
      <c r="C18" s="2" t="inlineStr">
        <is>
          <t>Net rent after mortgage, insurance and UK tax in HK-stay case.</t>
        </is>
      </c>
      <c r="D18" s="2" t="inlineStr">
        <is>
          <t>finance/uk-vs-hk-cost-comparison.md §1</t>
        </is>
      </c>
      <c r="E18" s="2" t="n"/>
      <c r="F18" s="2" t="n"/>
      <c r="G18" s="2" t="n"/>
      <c r="H18" s="2" t="n"/>
      <c r="I18" s="2" t="n"/>
      <c r="J18" s="2" t="n"/>
    </row>
    <row r="19">
      <c r="A19" s="2" t="inlineStr">
        <is>
          <t>London monthly cash burn GBP</t>
        </is>
      </c>
      <c r="B19" s="5" t="n">
        <v>4550</v>
      </c>
      <c r="C19" s="2" t="inlineStr">
        <is>
          <t>Latest London cash burn, updated to remove the former £60/mo DB letting-agent allowance because agency fee is one-off.</t>
        </is>
      </c>
      <c r="D19" s="2" t="inlineStr">
        <is>
          <t>finance/uk-move-financial-model.md §9-11; user correction 2026-07-10</t>
        </is>
      </c>
      <c r="E19" s="2" t="n"/>
      <c r="F19" s="2" t="n"/>
      <c r="G19" s="2" t="n"/>
      <c r="H19" s="2" t="n"/>
      <c r="I19" s="2" t="n"/>
      <c r="J19" s="2" t="n"/>
    </row>
    <row r="20">
      <c r="A20" s="2" t="inlineStr">
        <is>
          <t>London monthly net-worth burn GBP</t>
        </is>
      </c>
      <c r="B20" s="5">
        <f>B19-B21</f>
        <v/>
      </c>
      <c r="C20" s="2" t="inlineStr">
        <is>
          <t>London cash burn less DB principal/equity component.</t>
        </is>
      </c>
      <c r="D20" s="2" t="inlineStr">
        <is>
          <t>Derived from B19 and B21</t>
        </is>
      </c>
      <c r="E20" s="2" t="n"/>
      <c r="F20" s="2" t="n"/>
      <c r="G20" s="2" t="n"/>
      <c r="H20" s="2" t="n"/>
      <c r="I20" s="2" t="n"/>
      <c r="J20" s="2" t="n"/>
    </row>
    <row r="21">
      <c r="A21" s="2" t="inlineStr">
        <is>
          <t>DB principal/equity component GBP</t>
        </is>
      </c>
      <c r="B21" s="5" t="n">
        <v>1369</v>
      </c>
      <c r="C21" s="2" t="inlineStr">
        <is>
          <t>Mortgage principal, cash outflow but equity accumulation.</t>
        </is>
      </c>
      <c r="D21" s="2" t="inlineStr">
        <is>
          <t>finance/uk-move-financial-model.md §11</t>
        </is>
      </c>
      <c r="E21" s="2" t="n"/>
      <c r="F21" s="2" t="n"/>
      <c r="G21" s="2" t="n"/>
      <c r="H21" s="2" t="n"/>
      <c r="I21" s="2" t="n"/>
      <c r="J21" s="2" t="n"/>
    </row>
    <row r="22">
      <c r="A22" s="2" t="inlineStr">
        <is>
          <t>HK school fees Julian pays HKD</t>
        </is>
      </c>
      <c r="B22" s="5" t="n">
        <v>6905</v>
      </c>
      <c r="C22" s="2" t="inlineStr">
        <is>
          <t>Budget.md school-fee line, may differ from simplified 6,500.</t>
        </is>
      </c>
      <c r="D22" s="2" t="inlineStr">
        <is>
          <t>finance/budget.md</t>
        </is>
      </c>
      <c r="E22" s="2" t="n"/>
      <c r="F22" s="2" t="n"/>
      <c r="G22" s="2" t="n"/>
      <c r="H22" s="2" t="n"/>
      <c r="I22" s="2" t="n"/>
      <c r="J22" s="2" t="n"/>
    </row>
    <row r="23">
      <c r="A23" s="2" t="inlineStr">
        <is>
          <t>HK school fee simplified HKD</t>
        </is>
      </c>
      <c r="B23" s="5" t="n">
        <v>6500</v>
      </c>
      <c r="C23" s="2" t="inlineStr">
        <is>
          <t>Relocation-model simplified tuition line.</t>
        </is>
      </c>
      <c r="D23" s="2" t="inlineStr">
        <is>
          <t>finance/uk-move-financial-model.md §1</t>
        </is>
      </c>
      <c r="E23" s="2" t="n"/>
      <c r="F23" s="2" t="n"/>
      <c r="G23" s="2" t="n"/>
      <c r="H23" s="2" t="n"/>
      <c r="I23" s="2" t="n"/>
      <c r="J23" s="2" t="n"/>
    </row>
    <row r="24">
      <c r="A24" s="2" t="inlineStr">
        <is>
          <t>HK helper HKD</t>
        </is>
      </c>
      <c r="B24" s="5" t="n">
        <v>3000</v>
      </c>
      <c r="C24" s="2" t="inlineStr">
        <is>
          <t>Helper line in Bills.</t>
        </is>
      </c>
      <c r="D24" s="2" t="inlineStr">
        <is>
          <t>finance/budget.md</t>
        </is>
      </c>
      <c r="E24" s="2" t="n"/>
      <c r="F24" s="2" t="n"/>
      <c r="G24" s="2" t="n"/>
      <c r="H24" s="2" t="n"/>
      <c r="I24" s="2" t="n"/>
      <c r="J24" s="2" t="n"/>
    </row>
    <row r="25">
      <c r="A25" s="2" t="inlineStr">
        <is>
          <t>Potential Clodagh contribution HKD</t>
        </is>
      </c>
      <c r="B25" s="5" t="n">
        <v>3050</v>
      </c>
      <c r="C25" s="2" t="inlineStr">
        <is>
          <t>Approx half of HK school fee, not currently paid.</t>
        </is>
      </c>
      <c r="D25" s="2" t="inlineStr">
        <is>
          <t>finance/uk-vs-hk-cost-comparison.md</t>
        </is>
      </c>
      <c r="E25" s="2" t="n"/>
      <c r="F25" s="2" t="n"/>
      <c r="G25" s="2" t="n"/>
      <c r="H25" s="2" t="n"/>
      <c r="I25" s="2" t="n"/>
      <c r="J25" s="2" t="n"/>
    </row>
    <row r="26">
      <c r="A26" s="2" t="inlineStr">
        <is>
          <t>UK cleaner placeholder GBP</t>
        </is>
      </c>
      <c r="B26" s="5" t="n">
        <v>460</v>
      </c>
      <c r="C26" s="2" t="inlineStr">
        <is>
          <t>DISCRETIONARY during search (do own cleaning while unemployed). 8h/wk @ ~£14.50/hr settled.</t>
        </is>
      </c>
      <c r="D26" s="2" t="inlineStr">
        <is>
          <t>User current hypothesis</t>
        </is>
      </c>
      <c r="E26" s="2" t="n"/>
      <c r="F26" s="2" t="n"/>
      <c r="G26" s="2" t="n"/>
      <c r="H26" s="2" t="n"/>
      <c r="I26" s="2" t="n"/>
      <c r="J26" s="2" t="n"/>
    </row>
    <row r="27">
      <c r="A27" s="2" t="inlineStr">
        <is>
          <t>UK Sophia activities placeholder GBP</t>
        </is>
      </c>
      <c r="B27" s="5" t="n">
        <v>480</v>
      </c>
      <c r="C27" s="2" t="inlineStr">
        <is>
          <t>London monthly budget Sophia line.</t>
        </is>
      </c>
      <c r="D27" s="2" t="inlineStr">
        <is>
          <t>finance/london-monthly-budget.md</t>
        </is>
      </c>
      <c r="E27" s="2" t="n"/>
      <c r="F27" s="2" t="n"/>
      <c r="G27" s="2" t="n"/>
      <c r="H27" s="2" t="n"/>
      <c r="I27" s="2" t="n"/>
      <c r="J27" s="2" t="n"/>
    </row>
    <row r="28">
      <c r="A28" s="2" t="inlineStr">
        <is>
          <t>Moving one-off low GBP</t>
        </is>
      </c>
      <c r="B28" s="5" t="n">
        <v>10000</v>
      </c>
      <c r="C28" s="2" t="inlineStr">
        <is>
          <t>Transition one-offs low estimate.</t>
        </is>
      </c>
      <c r="D28" s="2" t="inlineStr">
        <is>
          <t>finance/uk-vs-hk-cost-comparison.md</t>
        </is>
      </c>
      <c r="E28" s="2" t="n"/>
      <c r="F28" s="2" t="n"/>
      <c r="G28" s="2" t="n"/>
      <c r="H28" s="2" t="n"/>
      <c r="I28" s="2" t="n"/>
      <c r="J28" s="2" t="n"/>
    </row>
    <row r="29">
      <c r="A29" s="2" t="inlineStr">
        <is>
          <t>Moving one-off high GBP</t>
        </is>
      </c>
      <c r="B29" s="5" t="n">
        <v>25000</v>
      </c>
      <c r="C29" s="2" t="inlineStr">
        <is>
          <t>Transition one-offs high estimate.</t>
        </is>
      </c>
      <c r="D29" s="2" t="inlineStr">
        <is>
          <t>finance/uk-vs-hk-cost-comparison.md</t>
        </is>
      </c>
      <c r="E29" s="2" t="n"/>
      <c r="F29" s="2" t="n"/>
      <c r="G29" s="2" t="n"/>
      <c r="H29" s="2" t="n"/>
      <c r="I29" s="2" t="n"/>
      <c r="J29" s="2" t="n"/>
    </row>
    <row r="30">
      <c r="A30" s="64" t="inlineStr">
        <is>
          <t>DB flat expected rent HKD</t>
        </is>
      </c>
      <c r="B30" s="63" t="n">
        <v>22000</v>
      </c>
      <c r="C30" s="65" t="inlineStr">
        <is>
          <t>Agent-estimated monthly rent for DB flat if UK-based.</t>
        </is>
      </c>
      <c r="D30" s="65" t="inlineStr">
        <is>
          <t>User correction 2026-07-10</t>
        </is>
      </c>
    </row>
    <row r="31">
      <c r="A31" s="64" t="inlineStr">
        <is>
          <t>DB flat letting agency fee HKD one-off</t>
        </is>
      </c>
      <c r="B31" s="63" t="n">
        <v>11000</v>
      </c>
      <c r="C31" s="65" t="inlineStr">
        <is>
          <t>50% of one month rent, one-off fee, not monthly central burn.</t>
        </is>
      </c>
      <c r="D31" s="65" t="inlineStr">
        <is>
          <t>User correction 2026-07-10</t>
        </is>
      </c>
    </row>
    <row r="32">
      <c r="A32" s="64" t="inlineStr">
        <is>
          <t>DB flat mortgage total HKD</t>
        </is>
      </c>
      <c r="B32" s="66" t="n">
        <v>25827</v>
      </c>
      <c r="C32" s="65" t="inlineStr">
        <is>
          <t>Monthly DB mortgage payment.</t>
        </is>
      </c>
      <c r="D32" s="65" t="inlineStr">
        <is>
          <t>finance/uk-move-financial-model.md §11</t>
        </is>
      </c>
    </row>
    <row r="33">
      <c r="A33" s="64" t="inlineStr">
        <is>
          <t>DB flat mortgage interest HKD</t>
        </is>
      </c>
      <c r="B33" s="66" t="n">
        <v>12138</v>
      </c>
      <c r="C33" s="65" t="inlineStr">
        <is>
          <t>Interest component of DB mortgage.</t>
        </is>
      </c>
      <c r="D33" s="65" t="inlineStr">
        <is>
          <t>finance/uk-move-financial-model.md §11</t>
        </is>
      </c>
    </row>
    <row r="34">
      <c r="A34" s="64" t="inlineStr">
        <is>
          <t>DB flat mortgage principal HKD</t>
        </is>
      </c>
      <c r="B34" s="66" t="n">
        <v>13689</v>
      </c>
      <c r="C34" s="65" t="inlineStr">
        <is>
          <t>Principal component, equity not consumption.</t>
        </is>
      </c>
      <c r="D34" s="65" t="inlineStr">
        <is>
          <t>finance/uk-move-financial-model.md §11</t>
        </is>
      </c>
    </row>
    <row r="35">
      <c r="A35" s="64" t="inlineStr">
        <is>
          <t>DB flat management fee HKD</t>
        </is>
      </c>
      <c r="B35" s="66" t="n">
        <v>2054</v>
      </c>
      <c r="C35" s="65" t="inlineStr">
        <is>
          <t>Discovery Bay management fee.</t>
        </is>
      </c>
      <c r="D35" s="65" t="inlineStr">
        <is>
          <t>finance/uk-move-financial-model.md §11</t>
        </is>
      </c>
    </row>
    <row r="36">
      <c r="A36" s="64" t="inlineStr">
        <is>
          <t>DB flat rates HKD</t>
        </is>
      </c>
      <c r="B36" s="66" t="n">
        <v>1196</v>
      </c>
      <c r="C36" s="65" t="inlineStr">
        <is>
          <t>Rating and Valuation Department quarterly rates divided monthly.</t>
        </is>
      </c>
      <c r="D36" s="65" t="inlineStr">
        <is>
          <t>finance/uk-move-financial-model.md §11</t>
        </is>
      </c>
    </row>
    <row r="37">
      <c r="A37" s="64" t="inlineStr">
        <is>
          <t>DB flat HK property tax HKD</t>
        </is>
      </c>
      <c r="B37" s="66" t="n">
        <v>2640</v>
      </c>
      <c r="C37" s="65" t="inlineStr">
        <is>
          <t>Estimated 15% on 80% of HK$22,000 rent.</t>
        </is>
      </c>
      <c r="D37" s="65" t="inlineStr">
        <is>
          <t>finance/uk-move-financial-model.md §11</t>
        </is>
      </c>
    </row>
    <row r="38">
      <c r="A38" s="64" t="inlineStr">
        <is>
          <t>Cecil Road mortgage GBP</t>
        </is>
      </c>
      <c r="B38" s="66" t="n">
        <v>213</v>
      </c>
      <c r="C38" s="65" t="inlineStr">
        <is>
          <t>Interest-only mortgage, paid in either location.</t>
        </is>
      </c>
      <c r="D38" s="65" t="inlineStr">
        <is>
          <t>finance/uk-vs-hk-cost-comparison.md §1</t>
        </is>
      </c>
    </row>
    <row r="39">
      <c r="A39" s="64" t="inlineStr">
        <is>
          <t>Cecil Road insurance GBP</t>
        </is>
      </c>
      <c r="B39" s="66" t="n">
        <v>46</v>
      </c>
      <c r="C39" s="65" t="inlineStr">
        <is>
          <t>Buildings insurance, paid in either location.</t>
        </is>
      </c>
      <c r="D39" s="65" t="inlineStr">
        <is>
          <t>finance/uk-vs-hk-cost-comparison.md §1</t>
        </is>
      </c>
    </row>
    <row r="40">
      <c r="A40" s="64" t="inlineStr">
        <is>
          <t>Cecil Road take-home rent before owner costs GBP</t>
        </is>
      </c>
      <c r="B40" s="66" t="n">
        <v>2194</v>
      </c>
      <c r="C40" s="65" t="inlineStr">
        <is>
          <t>Rent after management and rent protection, before mortgage, insurance and UK tax.</t>
        </is>
      </c>
      <c r="D40" s="65" t="inlineStr">
        <is>
          <t>finance/uk-vs-hk-cost-comparison.md §1</t>
        </is>
      </c>
    </row>
    <row r="41">
      <c r="A41" s="64" t="inlineStr">
        <is>
          <t>Cecil Road rental tax GBP</t>
        </is>
      </c>
      <c r="B41" s="66" t="n">
        <v>199</v>
      </c>
      <c r="C41" s="65" t="inlineStr">
        <is>
          <t>UK rental tax used in Test A.</t>
        </is>
      </c>
      <c r="D41" s="65" t="inlineStr">
        <is>
          <t>finance/uk-vs-hk-cost-comparison.md §1</t>
        </is>
      </c>
    </row>
    <row r="42">
      <c r="A42" s="64" t="inlineStr">
        <is>
          <t>UK babysitting / childcare placeholder GBP</t>
        </is>
      </c>
      <c r="B42" s="63" t="n">
        <v>215</v>
      </c>
      <c r="C42" s="65" t="inlineStr">
        <is>
          <t>DISCRETIONARY during search (home anyway; small residual for interview/event cover). 4h/wk settled.</t>
        </is>
      </c>
      <c r="D42" s="65" t="inlineStr">
        <is>
          <t>User correction 2026-07-10</t>
        </is>
      </c>
    </row>
    <row r="43">
      <c r="A43" s="2" t="inlineStr">
        <is>
          <t>UK car running GBP monthly</t>
        </is>
      </c>
      <c r="B43" s="5" t="n">
        <v>225</v>
      </c>
      <c r="C43" s="2" t="inlineStr">
        <is>
          <t>DISCRETIONARY during search (defer purchase, use TfL). Running cost once owned.</t>
        </is>
      </c>
      <c r="D43" s="2" t="inlineStr">
        <is>
          <t>tfl.gov.uk cost-of-owning-a-car</t>
        </is>
      </c>
    </row>
    <row r="44">
      <c r="A44" s="2" t="inlineStr">
        <is>
          <t>UK car purchase GBP one-off</t>
        </is>
      </c>
      <c r="B44" s="5" t="n">
        <v>4000</v>
      </c>
      <c r="C44" s="2" t="inlineStr">
        <is>
          <t>One-off: ~8yr-old small petrol hatchback. Treated like moving one-offs, not monthly burn.</t>
        </is>
      </c>
      <c r="D44" s="2" t="inlineStr">
        <is>
          <t>Julian research 2026-07-10</t>
        </is>
      </c>
    </row>
    <row r="45">
      <c r="A45" s="2" t="inlineStr">
        <is>
          <t>London CORRECTED cash burn GBP</t>
        </is>
      </c>
      <c r="B45" s="5">
        <f>B19+B26+B42+B43</f>
        <v/>
      </c>
      <c r="C45" s="2" t="inlineStr">
        <is>
          <t>London cash burn incl. realistic cleaner + babysitter + car. Supersedes B19 as the honest survival burn.</t>
        </is>
      </c>
      <c r="D45" s="2" t="inlineStr">
        <is>
          <t>Derived 2026-07-10</t>
        </is>
      </c>
    </row>
    <row r="46">
      <c r="A46" s="2" t="inlineStr">
        <is>
          <t>London CORRECTED net-worth burn GBP</t>
        </is>
      </c>
      <c r="B46" s="5">
        <f>B45-B21</f>
        <v/>
      </c>
      <c r="C46" s="2" t="inlineStr">
        <is>
          <t>Corrected cash burn less DB principal/equity.</t>
        </is>
      </c>
      <c r="D46" s="2" t="inlineStr">
        <is>
          <t>Derived from B45 and B21</t>
        </is>
      </c>
    </row>
    <row r="47">
      <c r="A47" s="2" t="inlineStr">
        <is>
          <t>London search-phase car GBP</t>
        </is>
      </c>
      <c r="B47" s="5" t="n">
        <v>0</v>
      </c>
      <c r="C47" s="2" t="inlineStr">
        <is>
          <t>Car deferred entirely during search: use TfL (already in base burn).</t>
        </is>
      </c>
      <c r="D47" s="2" t="inlineStr">
        <is>
          <t>Deferrable</t>
        </is>
      </c>
    </row>
    <row r="48">
      <c r="A48" s="2" t="inlineStr">
        <is>
          <t>London search-phase babysitting GBP</t>
        </is>
      </c>
      <c r="B48" s="5" t="n">
        <v>30</v>
      </c>
      <c r="C48" s="2" t="inlineStr">
        <is>
          <t>Largely eliminated: home while searching; small residual for interviews/networking.</t>
        </is>
      </c>
      <c r="D48" s="2" t="inlineStr">
        <is>
          <t>Deferrable</t>
        </is>
      </c>
    </row>
    <row r="49">
      <c r="A49" s="2" t="inlineStr">
        <is>
          <t>London search-phase cleaning GBP</t>
        </is>
      </c>
      <c r="B49" s="5" t="n">
        <v>50</v>
      </c>
      <c r="C49" s="2" t="inlineStr">
        <is>
          <t>Largely eliminated: do own cleaning while unemployed; occasional deep-clean only.</t>
        </is>
      </c>
      <c r="D49" s="2" t="inlineStr">
        <is>
          <t>Deferrable</t>
        </is>
      </c>
    </row>
    <row r="50">
      <c r="A50" s="2" t="inlineStr">
        <is>
          <t>London SEARCH-PHASE lean cash burn GBP</t>
        </is>
      </c>
      <c r="B50" s="5">
        <f>B19+B47+B48+B49</f>
        <v/>
      </c>
      <c r="C50" s="2" t="inlineStr">
        <is>
          <t>Non-optional survival burn during job search: base + minimal help, no car.</t>
        </is>
      </c>
      <c r="D50" s="2" t="inlineStr">
        <is>
          <t>Derived 2026-07-10</t>
        </is>
      </c>
    </row>
    <row r="51">
      <c r="A51" s="2" t="inlineStr">
        <is>
          <t>London SEARCH-PHASE net-worth burn GBP</t>
        </is>
      </c>
      <c r="B51" s="5">
        <f>B50-B21</f>
        <v/>
      </c>
      <c r="C51" s="2" t="inlineStr">
        <is>
          <t>Lean search cash burn less DB principal.</t>
        </is>
      </c>
      <c r="D51" s="2" t="inlineStr">
        <is>
          <t>Derived</t>
        </is>
      </c>
    </row>
  </sheetData>
  <mergeCells count="2">
    <mergeCell ref="A1:J1"/>
    <mergeCell ref="A2:J2"/>
  </mergeCell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25"/>
  <sheetViews>
    <sheetView showGridLines="0" workbookViewId="0">
      <pane ySplit="3" topLeftCell="A4" activePane="bottomLeft" state="frozen"/>
      <selection pane="bottomLeft" activeCell="A1" sqref="A1"/>
    </sheetView>
  </sheetViews>
  <sheetFormatPr baseColWidth="8" defaultRowHeight="15"/>
  <cols>
    <col width="28" customWidth="1" min="1" max="1"/>
    <col width="16" customWidth="1" min="2" max="2"/>
    <col width="18" customWidth="1" min="3" max="3"/>
    <col width="18" customWidth="1" min="4" max="4"/>
    <col width="15" customWidth="1" min="5" max="5"/>
    <col width="16" customWidth="1" min="6" max="6"/>
    <col width="18" customWidth="1" min="7" max="7"/>
    <col width="24" customWidth="1" min="8" max="8"/>
    <col width="12" customWidth="1" min="9" max="9"/>
    <col width="68" customWidth="1" min="10" max="10"/>
  </cols>
  <sheetData>
    <row r="1">
      <c r="A1" s="1" t="inlineStr">
        <is>
          <t>Category-Aligned Cost Reconciliation</t>
        </is>
      </c>
    </row>
    <row r="2">
      <c r="A2" s="3" t="inlineStr">
        <is>
          <t>Rows use the canonical money-tracker categories. The table exposes where HK actuals, HK budget, and UK forecast are not like-for-like.</t>
        </is>
      </c>
    </row>
    <row r="3">
      <c r="A3" s="4" t="inlineStr">
        <is>
          <t>Category</t>
        </is>
      </c>
      <c r="B3" s="4" t="inlineStr">
        <is>
          <t>HK budget target HKD</t>
        </is>
      </c>
      <c r="C3" s="4" t="inlineStr">
        <is>
          <t>HK stated relocation HKD</t>
        </is>
      </c>
      <c r="D3" s="4" t="inlineStr">
        <is>
          <t>HK actual allocation HKD</t>
        </is>
      </c>
      <c r="E3" s="4" t="inlineStr">
        <is>
          <t>UK forecast GBP</t>
        </is>
      </c>
      <c r="F3" s="4" t="inlineStr">
        <is>
          <t>UK forecast HKD</t>
        </is>
      </c>
      <c r="G3" s="4" t="inlineStr">
        <is>
          <t>Delta UK vs HK actual GBP</t>
        </is>
      </c>
      <c r="H3" s="4" t="inlineStr">
        <is>
          <t>Treatment</t>
        </is>
      </c>
      <c r="I3" s="4" t="inlineStr">
        <is>
          <t>Confidence</t>
        </is>
      </c>
      <c r="J3" s="4" t="inlineStr">
        <is>
          <t>Notes</t>
        </is>
      </c>
    </row>
    <row r="4" ht="42" customHeight="1">
      <c r="A4" s="53" t="inlineStr">
        <is>
          <t>Housing</t>
        </is>
      </c>
      <c r="B4" s="91" t="n">
        <v>32696</v>
      </c>
      <c r="C4" s="91" t="n">
        <v>29000</v>
      </c>
      <c r="D4" s="91">
        <f>'Housing Mechanics'!B31*Inputs!$B$4</f>
        <v/>
      </c>
      <c r="E4" s="91">
        <f>'Housing Mechanics'!B32</f>
        <v/>
      </c>
      <c r="F4" s="91">
        <f>E4*Inputs!$B$4</f>
        <v/>
      </c>
      <c r="G4" s="91">
        <f>E4-D4/Inputs!$B$4</f>
        <v/>
      </c>
      <c r="H4" s="76" t="inlineStr">
        <is>
          <t>Property mechanics normalized</t>
        </is>
      </c>
      <c r="I4" s="76" t="inlineStr">
        <is>
          <t>High</t>
        </is>
      </c>
      <c r="J4" s="76" t="inlineStr">
        <is>
          <t>Housing uses Housing Mechanics, not raw HK$29k vs UK row. One-off DB agency fee excluded from monthly central.</t>
        </is>
      </c>
    </row>
    <row r="5" ht="42" customHeight="1">
      <c r="A5" s="56" t="inlineStr">
        <is>
          <t>Tax</t>
        </is>
      </c>
      <c r="B5" s="92" t="n">
        <v>24478</v>
      </c>
      <c r="C5" s="92" t="n">
        <v>0</v>
      </c>
      <c r="D5" s="92" t="n">
        <v>0</v>
      </c>
      <c r="E5" s="92" t="n">
        <v>0</v>
      </c>
      <c r="F5" s="92">
        <f>E5*Inputs!$B$4</f>
        <v/>
      </c>
      <c r="G5" s="92">
        <f>E5-D5/Inputs!$B$4</f>
        <v/>
      </c>
      <c r="H5" s="79" t="inlineStr">
        <is>
          <t>Income-tax handled in income scenarios</t>
        </is>
      </c>
      <c r="I5" s="79" t="inlineStr">
        <is>
          <t>High</t>
        </is>
      </c>
      <c r="J5" s="79" t="inlineStr">
        <is>
          <t>Budget tax provision relates prior Telstra year and should not be in living-cost floor.</t>
        </is>
      </c>
    </row>
    <row r="6" ht="42" customHeight="1">
      <c r="A6" s="53" t="inlineStr">
        <is>
          <t>Travel</t>
        </is>
      </c>
      <c r="B6" s="91" t="n">
        <v>56000</v>
      </c>
      <c r="C6" s="91" t="n">
        <v>5000</v>
      </c>
      <c r="D6" s="91" t="n">
        <v>5000</v>
      </c>
      <c r="E6" s="91" t="n">
        <v>0</v>
      </c>
      <c r="F6" s="91">
        <f>E6*Inputs!$B$4</f>
        <v/>
      </c>
      <c r="G6" s="91">
        <f>E6-D6/Inputs!$B$4</f>
        <v/>
      </c>
      <c r="H6" s="76" t="inlineStr">
        <is>
          <t>Not in corrected UK burn</t>
        </is>
      </c>
      <c r="I6" s="76" t="inlineStr">
        <is>
          <t>Low</t>
        </is>
      </c>
      <c r="J6" s="76" t="inlineStr">
        <is>
          <t>UK corrected burn B45 does not include a separate holidays/travel line; review separately if a travel budget is required.</t>
        </is>
      </c>
    </row>
    <row r="7" ht="42" customHeight="1">
      <c r="A7" s="56" t="inlineStr">
        <is>
          <t>Tuition</t>
        </is>
      </c>
      <c r="B7" s="92" t="n">
        <v>7706</v>
      </c>
      <c r="C7" s="92" t="n">
        <v>6500</v>
      </c>
      <c r="D7" s="92" t="n">
        <v>6500</v>
      </c>
      <c r="E7" s="92" t="n">
        <v>0</v>
      </c>
      <c r="F7" s="92">
        <f>E7*Inputs!$B$4</f>
        <v/>
      </c>
      <c r="G7" s="92">
        <f>E7-D7/Inputs!$B$4</f>
        <v/>
      </c>
      <c r="H7" s="79" t="inlineStr">
        <is>
          <t>Structural HK-only saving</t>
        </is>
      </c>
      <c r="I7" s="79" t="inlineStr">
        <is>
          <t>High</t>
        </is>
      </c>
      <c r="J7" s="79" t="inlineStr">
        <is>
          <t>UK state school removes school fees, but activities move elsewhere.</t>
        </is>
      </c>
    </row>
    <row r="8" ht="42" customHeight="1">
      <c r="A8" s="53" t="inlineStr">
        <is>
          <t>Dining out</t>
        </is>
      </c>
      <c r="B8" s="91" t="n">
        <v>7089</v>
      </c>
      <c r="C8" s="91" t="n">
        <v>10000</v>
      </c>
      <c r="D8" s="91" t="n">
        <v>10000</v>
      </c>
      <c r="E8" s="91" t="n">
        <v>300</v>
      </c>
      <c r="F8" s="91">
        <f>E8*Inputs!$B$4</f>
        <v/>
      </c>
      <c r="G8" s="91">
        <f>E8-D8/Inputs!$B$4</f>
        <v/>
      </c>
      <c r="H8" s="76" t="inlineStr">
        <is>
          <t>Discretionary</t>
        </is>
      </c>
      <c r="I8" s="76" t="inlineStr">
        <is>
          <t>Medium</t>
        </is>
      </c>
      <c r="J8" s="76" t="inlineStr">
        <is>
          <t>Uses London budget dining/takeaway line. Search-phase keeps 40%.</t>
        </is>
      </c>
    </row>
    <row r="9" ht="42" customHeight="1">
      <c r="A9" s="56" t="inlineStr">
        <is>
          <t>Groceries</t>
        </is>
      </c>
      <c r="B9" s="92" t="n">
        <v>6000</v>
      </c>
      <c r="C9" s="92" t="n">
        <v>9000</v>
      </c>
      <c r="D9" s="92" t="n">
        <v>9000</v>
      </c>
      <c r="E9" s="92" t="n">
        <v>620</v>
      </c>
      <c r="F9" s="92">
        <f>E9*Inputs!$B$4</f>
        <v/>
      </c>
      <c r="G9" s="92">
        <f>E9-D9/Inputs!$B$4</f>
        <v/>
      </c>
      <c r="H9" s="79" t="inlineStr">
        <is>
          <t>UK forecast lower</t>
        </is>
      </c>
      <c r="I9" s="79" t="inlineStr">
        <is>
          <t>Medium</t>
        </is>
      </c>
      <c r="J9" s="79" t="inlineStr">
        <is>
          <t>Uses London budget groceries line.</t>
        </is>
      </c>
    </row>
    <row r="10" ht="42" customHeight="1">
      <c r="A10" s="53" t="inlineStr">
        <is>
          <t>Bills / household utilities</t>
        </is>
      </c>
      <c r="B10" s="91" t="n">
        <v>5956</v>
      </c>
      <c r="C10" s="91" t="n">
        <v>6000</v>
      </c>
      <c r="D10" s="91">
        <f>C10-Inputs!$B$24</f>
        <v/>
      </c>
      <c r="E10" s="91" t="n">
        <v>571</v>
      </c>
      <c r="F10" s="91">
        <f>E10*Inputs!$B$4</f>
        <v/>
      </c>
      <c r="G10" s="91">
        <f>E10-D10/Inputs!$B$4</f>
        <v/>
      </c>
      <c r="H10" s="76" t="inlineStr">
        <is>
          <t>Helper split out</t>
        </is>
      </c>
      <c r="I10" s="76" t="inlineStr">
        <is>
          <t>Medium</t>
        </is>
      </c>
      <c r="J10" s="76" t="inlineStr">
        <is>
          <t>HK stated Bills line was HK$6k including helper HK$3k. Helper is split to Domestic help / cleaner; this row is household utilities / bills only.</t>
        </is>
      </c>
    </row>
    <row r="11" ht="42" customHeight="1">
      <c r="A11" s="56" t="inlineStr">
        <is>
          <t>Health / gym</t>
        </is>
      </c>
      <c r="B11" s="92" t="n">
        <v>905</v>
      </c>
      <c r="C11" s="92" t="n">
        <v>500</v>
      </c>
      <c r="D11" s="92" t="n">
        <v>500</v>
      </c>
      <c r="E11" s="92" t="n">
        <v>65</v>
      </c>
      <c r="F11" s="92">
        <f>E11*Inputs!$B$4</f>
        <v/>
      </c>
      <c r="G11" s="92">
        <f>E11-D11/Inputs!$B$4</f>
        <v/>
      </c>
      <c r="H11" s="79" t="inlineStr">
        <is>
          <t>Discretionary during search</t>
        </is>
      </c>
      <c r="I11" s="79" t="inlineStr">
        <is>
          <t>Medium</t>
        </is>
      </c>
      <c r="J11" s="79" t="inlineStr">
        <is>
          <t>UK gym/fitness line. Search-phase set to zero.</t>
        </is>
      </c>
    </row>
    <row r="12" ht="42" customHeight="1">
      <c r="A12" s="53" t="inlineStr">
        <is>
          <t>Leisure</t>
        </is>
      </c>
      <c r="B12" s="91" t="n">
        <v>1670</v>
      </c>
      <c r="C12" s="91" t="n">
        <v>3000</v>
      </c>
      <c r="D12" s="91" t="n">
        <v>3000</v>
      </c>
      <c r="E12" s="91" t="n">
        <v>250</v>
      </c>
      <c r="F12" s="91">
        <f>E12*Inputs!$B$4</f>
        <v/>
      </c>
      <c r="G12" s="91">
        <f>E12-D12/Inputs!$B$4</f>
        <v/>
      </c>
      <c r="H12" s="76" t="inlineStr">
        <is>
          <t>Discretionary</t>
        </is>
      </c>
      <c r="I12" s="76" t="inlineStr">
        <is>
          <t>Medium</t>
        </is>
      </c>
      <c r="J12" s="76" t="inlineStr">
        <is>
          <t>London leisure/hobbies line. Search-phase keeps 30%.</t>
        </is>
      </c>
    </row>
    <row r="13" ht="42" customHeight="1">
      <c r="A13" s="56" t="inlineStr">
        <is>
          <t>Medical</t>
        </is>
      </c>
      <c r="B13" s="92" t="n">
        <v>800</v>
      </c>
      <c r="C13" s="92" t="n">
        <v>1000</v>
      </c>
      <c r="D13" s="92" t="n">
        <v>1000</v>
      </c>
      <c r="E13" s="92" t="n">
        <v>0</v>
      </c>
      <c r="F13" s="92">
        <f>E13*Inputs!$B$4</f>
        <v/>
      </c>
      <c r="G13" s="92">
        <f>E13-D13/Inputs!$B$4</f>
        <v/>
      </c>
      <c r="H13" s="79" t="inlineStr">
        <is>
          <t>NHS saving</t>
        </is>
      </c>
      <c r="I13" s="79" t="inlineStr">
        <is>
          <t>Medium</t>
        </is>
      </c>
      <c r="J13" s="79" t="inlineStr">
        <is>
          <t>NHS saving; dental/prescriptions remain an omission risk.</t>
        </is>
      </c>
    </row>
    <row r="14" ht="42" customHeight="1">
      <c r="A14" s="53" t="inlineStr">
        <is>
          <t>Transport (TfL)</t>
        </is>
      </c>
      <c r="B14" s="91" t="n">
        <v>1650</v>
      </c>
      <c r="C14" s="91" t="n">
        <v>3000</v>
      </c>
      <c r="D14" s="91" t="n">
        <v>3000</v>
      </c>
      <c r="E14" s="91" t="n">
        <v>220</v>
      </c>
      <c r="F14" s="91">
        <f>E14*Inputs!$B$4</f>
        <v/>
      </c>
      <c r="G14" s="91">
        <f>E14-D14/Inputs!$B$4</f>
        <v/>
      </c>
      <c r="H14" s="76" t="inlineStr">
        <is>
          <t>Non-optional</t>
        </is>
      </c>
      <c r="I14" s="76" t="inlineStr">
        <is>
          <t>Medium</t>
        </is>
      </c>
      <c r="J14" s="76" t="inlineStr">
        <is>
          <t>TfL / Oyster plus occasional rail. Car is now split below.</t>
        </is>
      </c>
    </row>
    <row r="15" ht="42" customHeight="1">
      <c r="A15" s="56" t="inlineStr">
        <is>
          <t>Car</t>
        </is>
      </c>
      <c r="B15" s="92" t="n">
        <v>0</v>
      </c>
      <c r="C15" s="92" t="n">
        <v>0</v>
      </c>
      <c r="D15" s="92" t="n">
        <v>0</v>
      </c>
      <c r="E15" s="92">
        <f>Inputs!$B$43</f>
        <v/>
      </c>
      <c r="F15" s="92">
        <f>E15*Inputs!$B$4</f>
        <v/>
      </c>
      <c r="G15" s="92">
        <f>E15-D15/Inputs!$B$4</f>
        <v/>
      </c>
      <c r="H15" s="79" t="inlineStr">
        <is>
          <t>Discretionary during search</t>
        </is>
      </c>
      <c r="I15" s="79" t="inlineStr">
        <is>
          <t>Medium</t>
        </is>
      </c>
      <c r="J15" s="79" t="inlineStr">
        <is>
          <t>Settled-life car running cost. Search-phase car is Inputs B47, currently zero.</t>
        </is>
      </c>
    </row>
    <row r="16" ht="42" customHeight="1">
      <c r="A16" s="53" t="inlineStr">
        <is>
          <t>Shopping / clothing</t>
        </is>
      </c>
      <c r="B16" s="91" t="n">
        <v>700</v>
      </c>
      <c r="C16" s="91" t="n">
        <v>0</v>
      </c>
      <c r="D16" s="91" t="n">
        <v>0</v>
      </c>
      <c r="E16" s="91" t="n">
        <v>70</v>
      </c>
      <c r="F16" s="91">
        <f>E16*Inputs!$B$4</f>
        <v/>
      </c>
      <c r="G16" s="91">
        <f>E16-D16/Inputs!$B$4</f>
        <v/>
      </c>
      <c r="H16" s="76" t="inlineStr">
        <is>
          <t>Discretionary</t>
        </is>
      </c>
      <c r="I16" s="76" t="inlineStr">
        <is>
          <t>Low</t>
        </is>
      </c>
      <c r="J16" s="76" t="inlineStr">
        <is>
          <t>UK clothing/shopping line. Search-phase keeps 40%.</t>
        </is>
      </c>
    </row>
    <row r="17" ht="42" customHeight="1">
      <c r="A17" s="56" t="inlineStr">
        <is>
          <t>Beauty / personal care</t>
        </is>
      </c>
      <c r="B17" s="92" t="n">
        <v>825</v>
      </c>
      <c r="C17" s="92" t="n">
        <v>1000</v>
      </c>
      <c r="D17" s="92" t="n">
        <v>1000</v>
      </c>
      <c r="E17" s="92" t="n">
        <v>75</v>
      </c>
      <c r="F17" s="92">
        <f>E17*Inputs!$B$4</f>
        <v/>
      </c>
      <c r="G17" s="92">
        <f>E17-D17/Inputs!$B$4</f>
        <v/>
      </c>
      <c r="H17" s="79" t="inlineStr">
        <is>
          <t>Non-optional</t>
        </is>
      </c>
      <c r="I17" s="79" t="inlineStr">
        <is>
          <t>Medium</t>
        </is>
      </c>
      <c r="J17" s="79" t="inlineStr">
        <is>
          <t>Personal care line kept during search.</t>
        </is>
      </c>
    </row>
    <row r="18" ht="42" customHeight="1">
      <c r="A18" s="53" t="inlineStr">
        <is>
          <t>Savings &amp; Investments</t>
        </is>
      </c>
      <c r="B18" s="91" t="n">
        <v>0</v>
      </c>
      <c r="C18" s="91" t="n">
        <v>0</v>
      </c>
      <c r="D18" s="91" t="n">
        <v>0</v>
      </c>
      <c r="E18" s="91" t="n">
        <v>0</v>
      </c>
      <c r="F18" s="91">
        <f>E18*Inputs!$B$4</f>
        <v/>
      </c>
      <c r="G18" s="91">
        <f>E18-D18/Inputs!$B$4</f>
        <v/>
      </c>
      <c r="H18" s="76" t="inlineStr">
        <is>
          <t>Excluded from floor</t>
        </is>
      </c>
      <c r="I18" s="76" t="inlineStr">
        <is>
          <t>High</t>
        </is>
      </c>
      <c r="J18" s="76" t="inlineStr">
        <is>
          <t>No active saving assumed in survival-floor comparison.</t>
        </is>
      </c>
    </row>
    <row r="19" ht="42" customHeight="1">
      <c r="A19" s="56" t="inlineStr">
        <is>
          <t>Financial / work subs</t>
        </is>
      </c>
      <c r="B19" s="92" t="n">
        <v>667</v>
      </c>
      <c r="C19" s="92" t="n">
        <v>800</v>
      </c>
      <c r="D19" s="92" t="n">
        <v>800</v>
      </c>
      <c r="E19" s="92" t="n">
        <v>38</v>
      </c>
      <c r="F19" s="92">
        <f>E19*Inputs!$B$4</f>
        <v/>
      </c>
      <c r="G19" s="92">
        <f>E19-D19/Inputs!$B$4</f>
        <v/>
      </c>
      <c r="H19" s="79" t="inlineStr">
        <is>
          <t>Non-optional</t>
        </is>
      </c>
      <c r="I19" s="79" t="inlineStr">
        <is>
          <t>Medium</t>
        </is>
      </c>
      <c r="J19" s="79" t="inlineStr">
        <is>
          <t>Claude + ChatGPT work AI subscriptions.</t>
        </is>
      </c>
    </row>
    <row r="20" ht="42" customHeight="1">
      <c r="A20" s="53" t="inlineStr">
        <is>
          <t>Sophia essentials</t>
        </is>
      </c>
      <c r="B20" s="91" t="n">
        <v>0</v>
      </c>
      <c r="C20" s="91" t="n">
        <v>0</v>
      </c>
      <c r="D20" s="91" t="n">
        <v>0</v>
      </c>
      <c r="E20" s="91">
        <f>Inputs!$B$27*0.5</f>
        <v/>
      </c>
      <c r="F20" s="91">
        <f>E20*Inputs!$B$4</f>
        <v/>
      </c>
      <c r="G20" s="91">
        <f>E20-D20/Inputs!$B$4</f>
        <v/>
      </c>
      <c r="H20" s="76" t="inlineStr">
        <is>
          <t>Non-optional</t>
        </is>
      </c>
      <c r="I20" s="76" t="inlineStr">
        <is>
          <t>Low</t>
        </is>
      </c>
      <c r="J20" s="76" t="inlineStr">
        <is>
          <t>Provisional 50% split of the Sophia line until activities / essentials are itemised.</t>
        </is>
      </c>
    </row>
    <row r="21" ht="42" customHeight="1">
      <c r="A21" s="56" t="inlineStr">
        <is>
          <t>Sophia clubs/activities</t>
        </is>
      </c>
      <c r="B21" s="92" t="n">
        <v>0</v>
      </c>
      <c r="C21" s="92" t="n">
        <v>0</v>
      </c>
      <c r="D21" s="92" t="n">
        <v>0</v>
      </c>
      <c r="E21" s="92">
        <f>Inputs!$B$27*0.5</f>
        <v/>
      </c>
      <c r="F21" s="92">
        <f>E21*Inputs!$B$4</f>
        <v/>
      </c>
      <c r="G21" s="92">
        <f>E21-D21/Inputs!$B$4</f>
        <v/>
      </c>
      <c r="H21" s="79" t="inlineStr">
        <is>
          <t>Discretionary during search</t>
        </is>
      </c>
      <c r="I21" s="79" t="inlineStr">
        <is>
          <t>Low</t>
        </is>
      </c>
      <c r="J21" s="79" t="inlineStr">
        <is>
          <t>Provisional 50% split of the Sophia line. Search-phase keeps half.</t>
        </is>
      </c>
    </row>
    <row r="22" ht="42" customHeight="1">
      <c r="A22" s="53" t="inlineStr">
        <is>
          <t>Buffer / lumpy</t>
        </is>
      </c>
      <c r="B22" s="93" t="n">
        <v>0</v>
      </c>
      <c r="C22" s="93" t="n">
        <v>9140</v>
      </c>
      <c r="D22" s="93" t="n">
        <v>9140</v>
      </c>
      <c r="E22" s="93" t="n">
        <v>632</v>
      </c>
      <c r="F22" s="93">
        <f>E22*Inputs!$B$4</f>
        <v/>
      </c>
      <c r="G22" s="93">
        <f>E22-D22/Inputs!$B$4</f>
        <v/>
      </c>
      <c r="H22" s="30" t="inlineStr">
        <is>
          <t>Half during search</t>
        </is>
      </c>
      <c r="I22" s="30" t="inlineStr">
        <is>
          <t>Low</t>
        </is>
      </c>
      <c r="J22" s="30" t="inlineStr">
        <is>
          <t>Search-phase keeps 50% of the buffer/lumpy line.</t>
        </is>
      </c>
    </row>
    <row r="23" ht="42" customHeight="1">
      <c r="A23" s="56" t="inlineStr">
        <is>
          <t>Domestic help / cleaner</t>
        </is>
      </c>
      <c r="B23" s="94" t="n">
        <v>0</v>
      </c>
      <c r="C23" s="94" t="n">
        <v>0</v>
      </c>
      <c r="D23" s="94">
        <f>Inputs!$B$24</f>
        <v/>
      </c>
      <c r="E23" s="94">
        <f>Inputs!$B$26</f>
        <v/>
      </c>
      <c r="F23" s="94">
        <f>E23*Inputs!$B$4</f>
        <v/>
      </c>
      <c r="G23" s="94">
        <f>E23-D23/Inputs!$B$4</f>
        <v/>
      </c>
      <c r="H23" s="26" t="inlineStr">
        <is>
          <t>Helper versus cleaner</t>
        </is>
      </c>
      <c r="I23" s="26" t="inlineStr">
        <is>
          <t>Low</t>
        </is>
      </c>
      <c r="J23" s="26" t="inlineStr">
        <is>
          <t>HK full-time helper cost is HK$3k/mo. UK cleaner uses settled-life input B26; search-phase cleaning uses B49.</t>
        </is>
      </c>
    </row>
    <row r="24" ht="42" customHeight="1">
      <c r="A24" s="53" t="inlineStr">
        <is>
          <t>Babysitting / childcare cover</t>
        </is>
      </c>
      <c r="B24" s="93" t="n">
        <v>0</v>
      </c>
      <c r="C24" s="93" t="n">
        <v>0</v>
      </c>
      <c r="D24" s="93" t="n">
        <v>0</v>
      </c>
      <c r="E24" s="93">
        <f>Inputs!$B$42</f>
        <v/>
      </c>
      <c r="F24" s="93">
        <f>E24*Inputs!$B$4</f>
        <v/>
      </c>
      <c r="G24" s="93">
        <f>E24-D24/Inputs!$B$4</f>
        <v/>
      </c>
      <c r="H24" s="30" t="inlineStr">
        <is>
          <t>UK-only childcare replacement</t>
        </is>
      </c>
      <c r="I24" s="30" t="inlineStr">
        <is>
          <t>Low</t>
        </is>
      </c>
      <c r="J24" s="30" t="inlineStr">
        <is>
          <t>UK settled babysitting uses B42; search-phase babysitting uses B48.</t>
        </is>
      </c>
    </row>
    <row r="25">
      <c r="A25" s="84" t="inlineStr">
        <is>
          <t>TOTAL</t>
        </is>
      </c>
      <c r="B25" s="95">
        <f>SUM(B4:B24)</f>
        <v/>
      </c>
      <c r="C25" s="95">
        <f>SUM(C4:C24)</f>
        <v/>
      </c>
      <c r="D25" s="95">
        <f>SUM(D4:D24)</f>
        <v/>
      </c>
      <c r="E25" s="95">
        <f>SUM(E4:E24)</f>
        <v/>
      </c>
      <c r="F25" s="95">
        <f>SUM(F4:F24)</f>
        <v/>
      </c>
      <c r="G25" s="95">
        <f>SUM(G4:G24)</f>
        <v/>
      </c>
      <c r="H25" s="84" t="n"/>
      <c r="I25" s="84" t="n"/>
      <c r="J25" s="84" t="n"/>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27"/>
  <sheetViews>
    <sheetView showGridLines="0" workbookViewId="0">
      <pane ySplit="3" topLeftCell="A4" activePane="bottomLeft" state="frozen"/>
      <selection pane="bottomLeft" activeCell="A1" sqref="A1"/>
    </sheetView>
  </sheetViews>
  <sheetFormatPr baseColWidth="8" defaultRowHeight="15"/>
  <cols>
    <col width="44" customWidth="1" min="1" max="1"/>
    <col width="10" customWidth="1" min="2" max="2"/>
    <col width="18" customWidth="1" min="3" max="3"/>
    <col width="18" customWidth="1" min="4" max="4"/>
    <col width="22" customWidth="1" min="5" max="5"/>
    <col width="18" customWidth="1" min="6" max="6"/>
    <col width="18" customWidth="1" min="7" max="7"/>
    <col width="48" customWidth="1" min="8" max="8"/>
  </cols>
  <sheetData>
    <row r="1">
      <c r="A1" s="1" t="inlineStr">
        <is>
          <t>Income Floor Scenario Summary</t>
        </is>
      </c>
    </row>
    <row r="2">
      <c r="A2" s="3" t="inlineStr">
        <is>
          <t>Tests whether HK$100k/month is actually less viable than UK £120k/year once tax, rent offset, and cash vs net-worth burn are separated.</t>
        </is>
      </c>
    </row>
    <row r="3">
      <c r="A3" s="4" t="inlineStr">
        <is>
          <t>Scenario</t>
        </is>
      </c>
      <c r="B3" s="4" t="inlineStr">
        <is>
          <t>Location</t>
        </is>
      </c>
      <c r="C3" s="4" t="inlineStr">
        <is>
          <t>Gross income HKD/mo</t>
        </is>
      </c>
      <c r="D3" s="4" t="inlineStr">
        <is>
          <t>Net salary HKD/mo</t>
        </is>
      </c>
      <c r="E3" s="4" t="inlineStr">
        <is>
          <t>Property income offset HKD/mo</t>
        </is>
      </c>
      <c r="F3" s="4" t="inlineStr">
        <is>
          <t>Cost basis HKD/mo</t>
        </is>
      </c>
      <c r="G3" s="4" t="inlineStr">
        <is>
          <t>Monthly surplus HKD</t>
        </is>
      </c>
      <c r="H3" s="4" t="inlineStr">
        <is>
          <t>Notes</t>
        </is>
      </c>
      <c r="I3" s="2" t="n"/>
      <c r="J3" s="2" t="n"/>
    </row>
    <row r="4">
      <c r="A4" s="2" t="inlineStr">
        <is>
          <t>HK 100k role - trend actuals, no Cecil offset</t>
        </is>
      </c>
      <c r="B4" s="2" t="inlineStr">
        <is>
          <t>HK</t>
        </is>
      </c>
      <c r="C4" s="7">
        <f>Inputs!$B$5</f>
        <v/>
      </c>
      <c r="D4" s="7">
        <f>Inputs!$B$5*(1-Inputs!$B$6)</f>
        <v/>
      </c>
      <c r="E4" s="7" t="n">
        <v>0</v>
      </c>
      <c r="F4" s="7">
        <f>Inputs!$B$14</f>
        <v/>
      </c>
      <c r="G4" s="12">
        <f>D4+E4-F4</f>
        <v/>
      </c>
      <c r="H4" s="2" t="inlineStr">
        <is>
          <t>Baseline suspect comparison</t>
        </is>
      </c>
      <c r="I4" s="2" t="n"/>
      <c r="J4" s="2" t="n"/>
    </row>
    <row r="5">
      <c r="A5" s="2" t="inlineStr">
        <is>
          <t>HK 100k role - trend actuals, with Cecil offset</t>
        </is>
      </c>
      <c r="B5" s="2" t="inlineStr">
        <is>
          <t>HK</t>
        </is>
      </c>
      <c r="C5" s="7">
        <f>Inputs!$B$5</f>
        <v/>
      </c>
      <c r="D5" s="7">
        <f>Inputs!$B$5*(1-Inputs!$B$6)</f>
        <v/>
      </c>
      <c r="E5" s="7">
        <f>Inputs!$B$18*Inputs!$B$4</f>
        <v/>
      </c>
      <c r="F5" s="7">
        <f>Inputs!$B$14</f>
        <v/>
      </c>
      <c r="G5" s="13">
        <f>D5+E5-F5</f>
        <v/>
      </c>
      <c r="H5" s="2" t="inlineStr">
        <is>
          <t>Likely correct HK cash view</t>
        </is>
      </c>
      <c r="I5" s="2" t="n"/>
      <c r="J5" s="2" t="n"/>
    </row>
    <row r="6">
      <c r="A6" s="2" t="inlineStr">
        <is>
          <t>HK 100k role - mean actuals, with Cecil offset</t>
        </is>
      </c>
      <c r="B6" s="2" t="inlineStr">
        <is>
          <t>HK</t>
        </is>
      </c>
      <c r="C6" s="7">
        <f>Inputs!$B$5</f>
        <v/>
      </c>
      <c r="D6" s="7">
        <f>Inputs!$B$5*(1-Inputs!$B$6)</f>
        <v/>
      </c>
      <c r="E6" s="7">
        <f>Inputs!$B$18*Inputs!$B$4</f>
        <v/>
      </c>
      <c r="F6" s="7">
        <f>Inputs!$B$13</f>
        <v/>
      </c>
      <c r="G6" s="12">
        <f>D6+E6-F6</f>
        <v/>
      </c>
      <c r="H6" s="2" t="inlineStr">
        <is>
          <t>More conservative actuals view</t>
        </is>
      </c>
      <c r="I6" s="2" t="n"/>
      <c r="J6" s="2" t="n"/>
    </row>
    <row r="7">
      <c r="A7" s="2" t="inlineStr">
        <is>
          <t>HK 100k role - trend, Clodagh pays half school fee</t>
        </is>
      </c>
      <c r="B7" s="2" t="inlineStr">
        <is>
          <t>HK</t>
        </is>
      </c>
      <c r="C7" s="7">
        <f>Inputs!$B$5</f>
        <v/>
      </c>
      <c r="D7" s="7">
        <f>Inputs!$B$5*(1-Inputs!$B$6)</f>
        <v/>
      </c>
      <c r="E7" s="7">
        <f>Inputs!$B$18*Inputs!$B$4</f>
        <v/>
      </c>
      <c r="F7" s="7">
        <f>Inputs!$B$14-Inputs!$B$25</f>
        <v/>
      </c>
      <c r="G7" s="13">
        <f>D7+E7-F7</f>
        <v/>
      </c>
      <c r="H7" s="2" t="inlineStr">
        <is>
          <t>Contingent, not base case</t>
        </is>
      </c>
      <c r="I7" s="2" t="n"/>
      <c r="J7" s="2" t="n"/>
    </row>
    <row r="8">
      <c r="A8" s="2" t="inlineStr">
        <is>
          <t>HK 125k senior role - trend with Cecil offset</t>
        </is>
      </c>
      <c r="B8" s="2" t="inlineStr">
        <is>
          <t>HK</t>
        </is>
      </c>
      <c r="C8" s="7">
        <f>Inputs!$B$7</f>
        <v/>
      </c>
      <c r="D8" s="7">
        <f>Inputs!$B$7*(1-Inputs!$B$8)</f>
        <v/>
      </c>
      <c r="E8" s="7">
        <f>Inputs!$B$18*Inputs!$B$4</f>
        <v/>
      </c>
      <c r="F8" s="7">
        <f>Inputs!$B$14</f>
        <v/>
      </c>
      <c r="G8" s="13">
        <f>D8+E8-F8</f>
        <v/>
      </c>
      <c r="H8" s="2" t="inlineStr">
        <is>
          <t>Senior HK recovery case</t>
        </is>
      </c>
      <c r="I8" s="2" t="n"/>
      <c r="J8" s="2" t="n"/>
    </row>
    <row r="9">
      <c r="A9" s="2" t="inlineStr">
        <is>
          <t>UK floor role - London cash burn</t>
        </is>
      </c>
      <c r="B9" s="2" t="inlineStr">
        <is>
          <t>UK</t>
        </is>
      </c>
      <c r="C9" s="7">
        <f>Inputs!$B$11*Inputs!$B$4/12</f>
        <v/>
      </c>
      <c r="D9" s="7">
        <f>Inputs!$B$12*Inputs!$B$4/12</f>
        <v/>
      </c>
      <c r="E9" s="7" t="n">
        <v>0</v>
      </c>
      <c r="F9" s="7">
        <f>Inputs!$B$19*Inputs!$B$4</f>
        <v/>
      </c>
      <c r="G9" s="12">
        <f>D9+E9-F9</f>
        <v/>
      </c>
      <c r="H9" s="2" t="inlineStr">
        <is>
          <t>Cash-flow break-even floor</t>
        </is>
      </c>
      <c r="I9" s="2" t="n"/>
      <c r="J9" s="2" t="n"/>
    </row>
    <row r="10">
      <c r="A10" s="2" t="inlineStr">
        <is>
          <t>UK £120k role - London cash burn</t>
        </is>
      </c>
      <c r="B10" s="2" t="inlineStr">
        <is>
          <t>UK</t>
        </is>
      </c>
      <c r="C10" s="7">
        <f>Inputs!$B$9*Inputs!$B$4/12</f>
        <v/>
      </c>
      <c r="D10" s="7">
        <f>Inputs!$B$10*Inputs!$B$4/12</f>
        <v/>
      </c>
      <c r="E10" s="7" t="n">
        <v>0</v>
      </c>
      <c r="F10" s="7">
        <f>Inputs!$B$19*Inputs!$B$4</f>
        <v/>
      </c>
      <c r="G10" s="13">
        <f>D10+E10-F10</f>
        <v/>
      </c>
      <c r="H10" s="2" t="inlineStr">
        <is>
          <t>Strong UK role</t>
        </is>
      </c>
      <c r="I10" s="2" t="n"/>
      <c r="J10" s="2" t="n"/>
    </row>
    <row r="11">
      <c r="A11" s="2" t="inlineStr">
        <is>
          <t>UK £120k role - net-worth burn</t>
        </is>
      </c>
      <c r="B11" s="2" t="inlineStr">
        <is>
          <t>UK</t>
        </is>
      </c>
      <c r="C11" s="7">
        <f>Inputs!$B$9*Inputs!$B$4/12</f>
        <v/>
      </c>
      <c r="D11" s="7">
        <f>Inputs!$B$10*Inputs!$B$4/12</f>
        <v/>
      </c>
      <c r="E11" s="7" t="n">
        <v>0</v>
      </c>
      <c r="F11" s="7">
        <f>Inputs!$B$20*Inputs!$B$4</f>
        <v/>
      </c>
      <c r="G11" s="13">
        <f>D11+E11-F11</f>
        <v/>
      </c>
      <c r="H11" s="2" t="inlineStr">
        <is>
          <t>Cash burn less DB principal/equity</t>
        </is>
      </c>
      <c r="I11" s="2" t="n"/>
      <c r="J11" s="2" t="n"/>
    </row>
    <row r="12">
      <c r="A12" s="2" t="inlineStr">
        <is>
          <t>HK 100k role - trend actuals, Cecil offset, net-worth basis</t>
        </is>
      </c>
      <c r="B12" s="2" t="inlineStr">
        <is>
          <t>HK</t>
        </is>
      </c>
      <c r="C12" s="7">
        <f>Inputs!$B$5</f>
        <v/>
      </c>
      <c r="D12" s="7">
        <f>Inputs!$B$5*(1-Inputs!$B$6)</f>
        <v/>
      </c>
      <c r="E12" s="7">
        <f>Inputs!$B$18*Inputs!$B$4</f>
        <v/>
      </c>
      <c r="F12" s="7">
        <f>Inputs!$B$14-Inputs!$B$21*Inputs!$B$4</f>
        <v/>
      </c>
      <c r="G12" s="13">
        <f>D12+E12-F12</f>
        <v/>
      </c>
      <c r="H12" s="2" t="inlineStr">
        <is>
          <t>Adds back DB-flat principal (equity) to match UK net-worth row</t>
        </is>
      </c>
      <c r="I12" s="2" t="n"/>
      <c r="J12" s="2" t="n"/>
    </row>
    <row r="13">
      <c r="A13" s="2" t="inlineStr">
        <is>
          <t>HK 100k role - mean actuals, Cecil offset, net-worth basis</t>
        </is>
      </c>
      <c r="B13" s="2" t="inlineStr">
        <is>
          <t>HK</t>
        </is>
      </c>
      <c r="C13" s="7">
        <f>Inputs!$B$5</f>
        <v/>
      </c>
      <c r="D13" s="7">
        <f>Inputs!$B$5*(1-Inputs!$B$6)</f>
        <v/>
      </c>
      <c r="E13" s="7">
        <f>Inputs!$B$18*Inputs!$B$4</f>
        <v/>
      </c>
      <c r="F13" s="7">
        <f>Inputs!$B$13-Inputs!$B$21*Inputs!$B$4</f>
        <v/>
      </c>
      <c r="G13" s="13">
        <f>D13+E13-F13</f>
        <v/>
      </c>
      <c r="H13" s="2" t="inlineStr">
        <is>
          <t>Symmetric net-worth basis, conservative 12-mo denominator</t>
        </is>
      </c>
      <c r="I13" s="2" t="n"/>
      <c r="J13" s="2" t="n"/>
    </row>
    <row r="14">
      <c r="A14" s="2" t="n"/>
      <c r="B14" s="2" t="n"/>
      <c r="C14" s="2" t="n"/>
      <c r="D14" s="2" t="n"/>
      <c r="E14" s="2" t="n"/>
      <c r="F14" s="2" t="n"/>
      <c r="G14" s="2" t="n"/>
      <c r="H14" s="2" t="n"/>
      <c r="I14" s="2" t="n"/>
      <c r="J14" s="2" t="n"/>
    </row>
    <row r="15">
      <c r="A15" s="14" t="inlineStr">
        <is>
          <t>First-pass finding</t>
        </is>
      </c>
      <c r="I15" s="2" t="n"/>
      <c r="J15" s="2" t="n"/>
    </row>
    <row r="16">
      <c r="A16" s="2" t="inlineStr">
        <is>
          <t>The suspicious statement is confirmed:</t>
        </is>
      </c>
      <c r="B16" s="2" t="inlineStr">
        <is>
          <t>HK$100k/month is not automatically unlivable once Cecil Road rent is offset.</t>
        </is>
      </c>
      <c r="C16" s="2" t="n"/>
      <c r="D16" s="2" t="n"/>
      <c r="E16" s="2" t="n"/>
      <c r="F16" s="2" t="n"/>
      <c r="G16" s="2" t="n"/>
      <c r="H16" s="2" t="n"/>
      <c r="I16" s="2" t="n"/>
      <c r="J16" s="2" t="n"/>
    </row>
    <row r="17">
      <c r="A17" s="2" t="inlineStr">
        <is>
          <t>Base HK100k with trend actuals and Cecil offset:</t>
        </is>
      </c>
      <c r="B17" s="7">
        <f>G5</f>
        <v/>
      </c>
      <c r="C17" s="2" t="n"/>
      <c r="D17" s="2" t="n"/>
      <c r="E17" s="2" t="n"/>
      <c r="F17" s="2" t="n"/>
      <c r="G17" s="2" t="n"/>
      <c r="H17" s="2" t="n"/>
      <c r="I17" s="2" t="n"/>
      <c r="J17" s="2" t="n"/>
    </row>
    <row r="18">
      <c r="A18" s="2" t="inlineStr">
        <is>
          <t>Base HK100k with mean actuals and Cecil offset:</t>
        </is>
      </c>
      <c r="B18" s="7">
        <f>G6</f>
        <v/>
      </c>
      <c r="C18" s="2" t="n"/>
      <c r="D18" s="2" t="n"/>
      <c r="E18" s="2" t="n"/>
      <c r="F18" s="2" t="n"/>
      <c r="G18" s="2" t="n"/>
      <c r="H18" s="2" t="n"/>
      <c r="I18" s="2" t="n"/>
      <c r="J18" s="2" t="n"/>
    </row>
    <row r="19">
      <c r="A19" s="2" t="inlineStr">
        <is>
          <t>UK £120k with London cash burn:</t>
        </is>
      </c>
      <c r="B19" s="7">
        <f>G10</f>
        <v/>
      </c>
      <c r="C19" s="2" t="n"/>
      <c r="D19" s="2" t="n"/>
      <c r="E19" s="2" t="n"/>
      <c r="F19" s="2" t="n"/>
      <c r="G19" s="2" t="n"/>
      <c r="H19" s="2" t="n"/>
      <c r="I19" s="2" t="n"/>
      <c r="J19" s="2" t="n"/>
    </row>
    <row r="20">
      <c r="A20" s="2" t="inlineStr">
        <is>
          <t>Interpretation:</t>
        </is>
      </c>
      <c r="B20" s="2" t="inlineStr">
        <is>
          <t>On cash, HK$100k (trend actuals) is level-to-ahead of UK £120k once Cecil rent is offset - they are the SAME ~£120k gross. On a symmetric net-worth basis (DB-flat principal added back on both sides) HK is ahead. 'No cheap floor' is wrong; the real UK edge is a LOWER break-even gross (~£77.5k), not more surplus at equal pay.</t>
        </is>
      </c>
      <c r="I20" s="2" t="n"/>
      <c r="J20" s="2" t="n"/>
    </row>
    <row r="21">
      <c r="A21" s="2" t="inlineStr">
        <is>
          <t>HK100k trend, net-worth basis (symmetric):</t>
        </is>
      </c>
      <c r="B21" s="7">
        <f>G12</f>
        <v/>
      </c>
    </row>
    <row r="22">
      <c r="A22" s="2" t="inlineStr">
        <is>
          <t>UK £120k, net-worth basis:</t>
        </is>
      </c>
      <c r="B22" s="7">
        <f>G11</f>
        <v/>
      </c>
    </row>
    <row r="24">
      <c r="A24" t="inlineStr">
        <is>
          <t>CORRECTED SCENARIOS (cleaner £460 + babysitter £215 + car £225/mo added to London burn)</t>
        </is>
      </c>
    </row>
    <row r="25">
      <c r="A25" s="2" t="inlineStr">
        <is>
          <t>UK £120k role - CORRECTED London cash burn</t>
        </is>
      </c>
      <c r="B25" s="2" t="inlineStr">
        <is>
          <t>UK</t>
        </is>
      </c>
      <c r="C25" s="7">
        <f>Inputs!$B$9*Inputs!$B$4/12</f>
        <v/>
      </c>
      <c r="D25" s="7">
        <f>Inputs!$B$10*Inputs!$B$4/12</f>
        <v/>
      </c>
      <c r="E25" s="7" t="n">
        <v>0</v>
      </c>
      <c r="F25" s="7">
        <f>Inputs!$B$45*Inputs!$B$4</f>
        <v/>
      </c>
      <c r="G25" s="13">
        <f>D25+E25-F25</f>
        <v/>
      </c>
      <c r="H25" s="2" t="inlineStr">
        <is>
          <t>Strong UK role, honest burn</t>
        </is>
      </c>
    </row>
    <row r="26">
      <c r="A26" s="2" t="inlineStr">
        <is>
          <t>UK £120k role - CORRECTED net-worth burn</t>
        </is>
      </c>
      <c r="B26" s="2" t="inlineStr">
        <is>
          <t>UK</t>
        </is>
      </c>
      <c r="C26" s="7">
        <f>Inputs!$B$9*Inputs!$B$4/12</f>
        <v/>
      </c>
      <c r="D26" s="7">
        <f>Inputs!$B$10*Inputs!$B$4/12</f>
        <v/>
      </c>
      <c r="E26" s="7" t="n">
        <v>0</v>
      </c>
      <c r="F26" s="7">
        <f>Inputs!$B$46*Inputs!$B$4</f>
        <v/>
      </c>
      <c r="G26" s="13">
        <f>D26+E26-F26</f>
        <v/>
      </c>
      <c r="H26" s="2" t="inlineStr">
        <is>
          <t>Strong UK role, honest net-worth burn</t>
        </is>
      </c>
    </row>
    <row r="27">
      <c r="A27" s="2" t="inlineStr">
        <is>
          <t>UK £77.5k floor - CORRECTED London cash burn</t>
        </is>
      </c>
      <c r="B27" s="2" t="inlineStr">
        <is>
          <t>UK</t>
        </is>
      </c>
      <c r="C27" s="7">
        <f>Inputs!$B$11*Inputs!$B$4/12</f>
        <v/>
      </c>
      <c r="D27" s="7">
        <f>Inputs!$B$12*Inputs!$B$4/12</f>
        <v/>
      </c>
      <c r="E27" s="7" t="n">
        <v>0</v>
      </c>
      <c r="F27" s="7">
        <f>Inputs!$B$45*Inputs!$B$4</f>
        <v/>
      </c>
      <c r="G27" s="13">
        <f>D27+E27-F27</f>
        <v/>
      </c>
      <c r="H27" s="2" t="inlineStr">
        <is>
          <t>Does the old floor still cover the honest burn?</t>
        </is>
      </c>
    </row>
  </sheetData>
  <mergeCells count="4">
    <mergeCell ref="A15:H15"/>
    <mergeCell ref="A1:J1"/>
    <mergeCell ref="B20:H20"/>
    <mergeCell ref="A2:J2"/>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11"/>
  <sheetViews>
    <sheetView showGridLines="0" workbookViewId="0">
      <pane ySplit="3" topLeftCell="A4" activePane="bottomLeft" state="frozen"/>
      <selection pane="bottomLeft" activeCell="A1" sqref="A1"/>
    </sheetView>
  </sheetViews>
  <sheetFormatPr baseColWidth="8" defaultRowHeight="15"/>
  <cols>
    <col width="32" customWidth="1" min="1" max="1"/>
    <col width="12" customWidth="1" min="2" max="2"/>
    <col width="90" customWidth="1" min="3" max="3"/>
  </cols>
  <sheetData>
    <row r="1">
      <c r="A1" s="1" t="inlineStr">
        <is>
          <t>Audit Flags</t>
        </is>
      </c>
    </row>
    <row r="2">
      <c r="A2" s="3" t="inlineStr">
        <is>
          <t>Items that must be resolved before the model can update the relocation verdict.</t>
        </is>
      </c>
    </row>
    <row r="3">
      <c r="A3" s="4" t="inlineStr">
        <is>
          <t>Flag</t>
        </is>
      </c>
      <c r="B3" s="4" t="inlineStr">
        <is>
          <t>Severity</t>
        </is>
      </c>
      <c r="C3" s="4" t="inlineStr">
        <is>
          <t>Detail</t>
        </is>
      </c>
      <c r="D3" s="2" t="n"/>
      <c r="E3" s="2" t="n"/>
      <c r="F3" s="2" t="n"/>
      <c r="G3" s="2" t="n"/>
      <c r="H3" s="2" t="n"/>
      <c r="I3" s="2" t="n"/>
      <c r="J3" s="2" t="n"/>
    </row>
    <row r="4">
      <c r="A4" s="2" t="inlineStr">
        <is>
          <t>Cecil Road rent offset</t>
        </is>
      </c>
      <c r="B4" s="15" t="inlineStr">
        <is>
          <t>High</t>
        </is>
      </c>
      <c r="C4" s="2" t="inlineStr">
        <is>
          <t>HK stay scenarios must include the net UK rent. Without it HK looks too weak.</t>
        </is>
      </c>
      <c r="D4" s="2" t="n"/>
      <c r="E4" s="2" t="n"/>
      <c r="F4" s="2" t="n"/>
      <c r="G4" s="2" t="n"/>
      <c r="H4" s="2" t="n"/>
      <c r="I4" s="2" t="n"/>
      <c r="J4" s="2" t="n"/>
    </row>
    <row r="5">
      <c r="A5" s="2" t="inlineStr">
        <is>
          <t>Tax provision in budget.md</t>
        </is>
      </c>
      <c r="B5" s="15" t="inlineStr">
        <is>
          <t>High</t>
        </is>
      </c>
      <c r="C5" s="2" t="inlineStr">
        <is>
          <t>HK$24.5k/mo tax provision reflects prior/current tax context, not automatically the future HK100k role.</t>
        </is>
      </c>
      <c r="D5" s="2" t="n"/>
      <c r="E5" s="2" t="n"/>
      <c r="F5" s="2" t="n"/>
      <c r="G5" s="2" t="n"/>
      <c r="H5" s="2" t="n"/>
      <c r="I5" s="2" t="n"/>
      <c r="J5" s="2" t="n"/>
    </row>
    <row r="6">
      <c r="A6" s="2" t="inlineStr">
        <is>
          <t>Travel budget</t>
        </is>
      </c>
      <c r="B6" s="15" t="inlineStr">
        <is>
          <t>High</t>
        </is>
      </c>
      <c r="C6" s="2" t="inlineStr">
        <is>
          <t>Canonical budget shows HK$56k/mo provision while relocation model uses HK$5k/mo. Needs actual transaction breakdown.</t>
        </is>
      </c>
      <c r="D6" s="2" t="n"/>
      <c r="E6" s="2" t="n"/>
      <c r="F6" s="2" t="n"/>
      <c r="G6" s="2" t="n"/>
      <c r="H6" s="2" t="n"/>
      <c r="I6" s="2" t="n"/>
      <c r="J6" s="2" t="n"/>
    </row>
    <row r="7">
      <c r="A7" s="2" t="inlineStr">
        <is>
          <t>UK cleaner equivalent</t>
        </is>
      </c>
      <c r="B7" s="16" t="inlineStr">
        <is>
          <t>Medium</t>
        </is>
      </c>
      <c r="C7" s="2" t="inlineStr">
        <is>
          <t>HK helper HK$3k/mo may be replaced by UK part-time cleaner. Current London budget excludes this unless placeholder added.</t>
        </is>
      </c>
      <c r="D7" s="2" t="n"/>
      <c r="E7" s="2" t="n"/>
      <c r="F7" s="2" t="n"/>
      <c r="G7" s="2" t="n"/>
      <c r="H7" s="2" t="n"/>
      <c r="I7" s="2" t="n"/>
      <c r="J7" s="2" t="n"/>
    </row>
    <row r="8">
      <c r="A8" s="2" t="inlineStr">
        <is>
          <t>Sophia activities</t>
        </is>
      </c>
      <c r="B8" s="16" t="inlineStr">
        <is>
          <t>Medium</t>
        </is>
      </c>
      <c r="C8" s="2" t="inlineStr">
        <is>
          <t>HK school fees disappear, but UK activities/school extras need explicit category mapping.</t>
        </is>
      </c>
      <c r="D8" s="2" t="n"/>
      <c r="E8" s="2" t="n"/>
      <c r="F8" s="2" t="n"/>
      <c r="G8" s="2" t="n"/>
      <c r="H8" s="2" t="n"/>
      <c r="I8" s="2" t="n"/>
      <c r="J8" s="2" t="n"/>
    </row>
    <row r="9">
      <c r="A9" s="2" t="inlineStr">
        <is>
          <t>Actuals gap</t>
        </is>
      </c>
      <c r="B9" s="15" t="inlineStr">
        <is>
          <t>High</t>
        </is>
      </c>
      <c r="C9" s="2" t="inlineStr">
        <is>
          <t>HK actuals exceed simplified categories by HK$9-17k/mo. Need classify one-off versus recurring and UK-equivalent.</t>
        </is>
      </c>
      <c r="D9" s="2" t="n"/>
      <c r="E9" s="2" t="n"/>
      <c r="F9" s="2" t="n"/>
      <c r="G9" s="2" t="n"/>
      <c r="H9" s="2" t="n"/>
      <c r="I9" s="2" t="n"/>
      <c r="J9" s="2" t="n"/>
    </row>
    <row r="10">
      <c r="A10" s="2" t="inlineStr">
        <is>
          <t>Cash vs net worth</t>
        </is>
      </c>
      <c r="B10" s="15" t="inlineStr">
        <is>
          <t>High</t>
        </is>
      </c>
      <c r="C10" s="2" t="inlineStr">
        <is>
          <t>DB principal is cash outflow but equity. Keep both views.</t>
        </is>
      </c>
      <c r="D10" s="2" t="n"/>
      <c r="E10" s="2" t="n"/>
      <c r="F10" s="2" t="n"/>
      <c r="G10" s="2" t="n"/>
      <c r="H10" s="2" t="n"/>
      <c r="I10" s="2" t="n"/>
      <c r="J10" s="2" t="n"/>
    </row>
    <row r="11">
      <c r="A11" s="2" t="inlineStr">
        <is>
          <t>Clodagh contribution</t>
        </is>
      </c>
      <c r="B11" s="16" t="inlineStr">
        <is>
          <t>Medium</t>
        </is>
      </c>
      <c r="C11" s="2" t="inlineStr">
        <is>
          <t>Do not use as base case while defaulting, but model as contingent case.</t>
        </is>
      </c>
      <c r="D11" s="2" t="n"/>
      <c r="E11" s="2" t="n"/>
      <c r="F11" s="2" t="n"/>
      <c r="G11" s="2" t="n"/>
      <c r="H11" s="2" t="n"/>
      <c r="I11" s="2" t="n"/>
      <c r="J11" s="2" t="n"/>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13"/>
  <sheetViews>
    <sheetView showGridLines="0" workbookViewId="0">
      <pane ySplit="3" topLeftCell="A4" activePane="bottomLeft" state="frozen"/>
      <selection pane="bottomLeft" activeCell="A1" sqref="A1"/>
    </sheetView>
  </sheetViews>
  <sheetFormatPr baseColWidth="8" defaultRowHeight="15"/>
  <cols>
    <col width="44" customWidth="1" min="1" max="1"/>
    <col width="70" customWidth="1" min="2" max="2"/>
    <col width="70" customWidth="1" min="3" max="3"/>
  </cols>
  <sheetData>
    <row r="1">
      <c r="A1" s="1" t="inlineStr">
        <is>
          <t>Source Notes</t>
        </is>
      </c>
    </row>
    <row r="2">
      <c r="A2" s="3" t="inlineStr">
        <is>
          <t>Where the workbook inputs came from.</t>
        </is>
      </c>
    </row>
    <row r="3">
      <c r="A3" s="4" t="inlineStr">
        <is>
          <t>Source</t>
        </is>
      </c>
      <c r="B3" s="4" t="inlineStr">
        <is>
          <t>Used for</t>
        </is>
      </c>
      <c r="C3" s="4" t="inlineStr">
        <is>
          <t>Path</t>
        </is>
      </c>
      <c r="D3" s="2" t="n"/>
      <c r="E3" s="2" t="n"/>
      <c r="F3" s="2" t="n"/>
      <c r="G3" s="2" t="n"/>
      <c r="H3" s="2" t="n"/>
      <c r="I3" s="2" t="n"/>
      <c r="J3" s="2" t="n"/>
    </row>
    <row r="4">
      <c r="A4" s="2" t="inlineStr">
        <is>
          <t>budget.md</t>
        </is>
      </c>
      <c r="B4" s="2" t="inlineStr">
        <is>
          <t>Canonical HK budget categories and category targets.</t>
        </is>
      </c>
      <c r="C4" s="2" t="inlineStr">
        <is>
          <t>wiki/finance/budget.md</t>
        </is>
      </c>
      <c r="D4" s="2" t="n"/>
      <c r="E4" s="2" t="n"/>
      <c r="F4" s="2" t="n"/>
      <c r="G4" s="2" t="n"/>
      <c r="H4" s="2" t="n"/>
      <c r="I4" s="2" t="n"/>
      <c r="J4" s="2" t="n"/>
    </row>
    <row r="5">
      <c r="A5" s="2" t="inlineStr">
        <is>
          <t>money-tracker.md</t>
        </is>
      </c>
      <c r="B5" s="2" t="inlineStr">
        <is>
          <t>15 top-level category taxonomy.</t>
        </is>
      </c>
      <c r="C5" s="2" t="inlineStr">
        <is>
          <t>wiki/finance/money-tracker.md</t>
        </is>
      </c>
      <c r="D5" s="2" t="n"/>
      <c r="E5" s="2" t="n"/>
      <c r="F5" s="2" t="n"/>
      <c r="G5" s="2" t="n"/>
      <c r="H5" s="2" t="n"/>
      <c r="I5" s="2" t="n"/>
      <c r="J5" s="2" t="n"/>
    </row>
    <row r="6">
      <c r="A6" s="2" t="inlineStr">
        <is>
          <t>uk-move-financial-model.md</t>
        </is>
      </c>
      <c r="B6" s="2" t="inlineStr">
        <is>
          <t>HK actual burn, stated relocation categories, runway, DB flat mechanics.</t>
        </is>
      </c>
      <c r="C6" s="2" t="inlineStr">
        <is>
          <t>wiki/finance/uk-move-financial-model.md</t>
        </is>
      </c>
      <c r="D6" s="2" t="n"/>
      <c r="E6" s="2" t="n"/>
      <c r="F6" s="2" t="n"/>
      <c r="G6" s="2" t="n"/>
      <c r="H6" s="2" t="n"/>
      <c r="I6" s="2" t="n"/>
      <c r="J6" s="2" t="n"/>
    </row>
    <row r="7">
      <c r="A7" s="2" t="inlineStr">
        <is>
          <t>uk-vs-hk-cost-comparison.md</t>
        </is>
      </c>
      <c r="B7" s="2" t="inlineStr">
        <is>
          <t>Both-property Test A, Cecil Road rent offset, cost-comparison caveats.</t>
        </is>
      </c>
      <c r="C7" s="2" t="inlineStr">
        <is>
          <t>wiki/finance/uk-vs-hk-cost-comparison.md</t>
        </is>
      </c>
      <c r="D7" s="2" t="n"/>
      <c r="E7" s="2" t="n"/>
      <c r="F7" s="2" t="n"/>
      <c r="G7" s="2" t="n"/>
      <c r="H7" s="2" t="n"/>
      <c r="I7" s="2" t="n"/>
      <c r="J7" s="2" t="n"/>
    </row>
    <row r="8">
      <c r="A8" s="2" t="inlineStr">
        <is>
          <t>london-monthly-budget.md</t>
        </is>
      </c>
      <c r="B8" s="2" t="inlineStr">
        <is>
          <t>London living-cost line items.</t>
        </is>
      </c>
      <c r="C8" s="2" t="inlineStr">
        <is>
          <t>wiki/finance/london-monthly-budget.md</t>
        </is>
      </c>
      <c r="D8" s="2" t="n"/>
      <c r="E8" s="2" t="n"/>
      <c r="F8" s="2" t="n"/>
      <c r="G8" s="2" t="n"/>
      <c r="H8" s="2" t="n"/>
      <c r="I8" s="2" t="n"/>
      <c r="J8" s="2" t="n"/>
    </row>
    <row r="9">
      <c r="A9" s="2" t="inlineStr">
        <is>
          <t>uk-150k-feasibility-report.md</t>
        </is>
      </c>
      <c r="B9" s="2" t="inlineStr">
        <is>
          <t>UK floor salary and net-worth / cash-flow break-even distinction.</t>
        </is>
      </c>
      <c r="C9" s="2" t="inlineStr">
        <is>
          <t>wiki/career/uk-150k-feasibility-report.md</t>
        </is>
      </c>
      <c r="D9" s="2" t="n"/>
      <c r="E9" s="2" t="n"/>
      <c r="F9" s="2" t="n"/>
      <c r="G9" s="2" t="n"/>
      <c r="H9" s="2" t="n"/>
      <c r="I9" s="2" t="n"/>
      <c r="J9" s="2" t="n"/>
    </row>
    <row r="10">
      <c r="A10" s="2" t="inlineStr">
        <is>
          <t>uk-150k-feasibility-jh-clarifications-2026-07-09.md</t>
        </is>
      </c>
      <c r="B10" s="2" t="inlineStr">
        <is>
          <t>PAYE net estimates for UK salary points.</t>
        </is>
      </c>
      <c r="C10" s="2" t="inlineStr">
        <is>
          <t>wiki/career/uk-150k-feasibility-jh-clarifications-2026-07-09.md</t>
        </is>
      </c>
      <c r="D10" s="2" t="n"/>
      <c r="E10" s="2" t="n"/>
      <c r="F10" s="2" t="n"/>
      <c r="G10" s="2" t="n"/>
      <c r="H10" s="2" t="n"/>
      <c r="I10" s="2" t="n"/>
      <c r="J10" s="2" t="n"/>
    </row>
    <row r="11">
      <c r="A11" t="inlineStr">
        <is>
          <t>Housing Mechanics</t>
        </is>
      </c>
      <c r="B11" t="inlineStr">
        <is>
          <t>DB flat rent HK$22,000/mo and one-off agency fee HK$11,000 from Julian correction 2026-07-10; DB mortgage/fees from uk-move-financial-model §11; Cecil Road rent/tax from uk-vs-hk-cost-comparison §1.</t>
        </is>
      </c>
    </row>
    <row r="12">
      <c r="A12" t="inlineStr">
        <is>
          <t>Helper / cleaner / babysitting split</t>
        </is>
      </c>
      <c r="B12" t="inlineStr">
        <is>
          <t>Babysitting / childcare cover added 2026-07-10 as explicit UK placeholder. HK helper is HK$3,000/mo and is split out from Bills; UK cleaner is Inputs B26; UK babysitting is Inputs B42.</t>
        </is>
      </c>
    </row>
    <row r="13">
      <c r="A13" t="inlineStr">
        <is>
          <t>Mandatory / optional split</t>
        </is>
      </c>
      <c r="B13" t="inlineStr">
        <is>
          <t>Added Opt (UK, during search) and UK search-phase GBP/mo columns on 2026-07-10, mirroring budget.md Non-optional / Discretionary convention. Added explicit car row and B50 cross-check.</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2026-07-09T13:57:29Z</dcterms:created>
  <dcterms:modified xsi:type="dcterms:W3CDTF">2026-07-10T01:05:56Z</dcterms:modified>
</cp:coreProperties>
</file>